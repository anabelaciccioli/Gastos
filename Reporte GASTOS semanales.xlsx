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sariobusar-my.sharepoint.com/personal/aciccioli_rosariobus_com_ar/Documents/"/>
    </mc:Choice>
  </mc:AlternateContent>
  <xr:revisionPtr revIDLastSave="0" documentId="8_{16696764-5068-481D-BA75-51EA2BA8C7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porte Dirección" sheetId="2" r:id="rId1"/>
    <sheet name="Dashboard" sheetId="3" r:id="rId2"/>
    <sheet name="reporte tsdocs del 1-6 al 7-6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3" l="1"/>
  <c r="D30" i="3"/>
  <c r="A30" i="3"/>
  <c r="F30" i="3"/>
  <c r="G29" i="3"/>
  <c r="D29" i="3"/>
  <c r="A29" i="3"/>
  <c r="F29" i="3"/>
  <c r="G28" i="3"/>
  <c r="D28" i="3"/>
  <c r="A28" i="3"/>
  <c r="F28" i="3"/>
  <c r="H48" i="3"/>
  <c r="H47" i="3"/>
  <c r="H46" i="3"/>
  <c r="E53" i="3"/>
  <c r="E52" i="3"/>
  <c r="E51" i="3"/>
  <c r="E50" i="3"/>
  <c r="E49" i="3"/>
  <c r="E48" i="3"/>
  <c r="E47" i="3"/>
  <c r="E46" i="3"/>
  <c r="B48" i="3"/>
  <c r="B47" i="3"/>
  <c r="B46" i="3"/>
  <c r="A3" i="3"/>
  <c r="G5" i="3"/>
  <c r="E5" i="3"/>
  <c r="C5" i="3"/>
  <c r="A5" i="3"/>
  <c r="G27" i="2"/>
  <c r="G26" i="2"/>
  <c r="B26" i="2"/>
  <c r="A26" i="2"/>
  <c r="G25" i="2"/>
  <c r="B25" i="2"/>
  <c r="A25" i="2"/>
  <c r="G24" i="2"/>
  <c r="B24" i="2"/>
  <c r="A24" i="2"/>
  <c r="G23" i="2"/>
  <c r="B23" i="2"/>
  <c r="A23" i="2"/>
  <c r="G22" i="2"/>
  <c r="B22" i="2"/>
  <c r="A22" i="2"/>
  <c r="G21" i="2"/>
  <c r="B21" i="2"/>
  <c r="A21" i="2"/>
  <c r="G20" i="2"/>
  <c r="B20" i="2"/>
  <c r="A20" i="2"/>
  <c r="G19" i="2"/>
  <c r="B19" i="2"/>
  <c r="A19" i="2"/>
  <c r="G18" i="2"/>
  <c r="B18" i="2"/>
  <c r="A18" i="2"/>
  <c r="G17" i="2"/>
  <c r="B17" i="2"/>
  <c r="A17" i="2"/>
  <c r="G16" i="2"/>
  <c r="B16" i="2"/>
  <c r="A16" i="2"/>
  <c r="G15" i="2"/>
  <c r="B15" i="2"/>
  <c r="A15" i="2"/>
  <c r="G14" i="2"/>
  <c r="B14" i="2"/>
  <c r="A14" i="2"/>
  <c r="G13" i="2"/>
  <c r="B13" i="2"/>
  <c r="A13" i="2"/>
  <c r="G12" i="2"/>
  <c r="B12" i="2"/>
  <c r="A12" i="2"/>
  <c r="G11" i="2"/>
  <c r="B11" i="2"/>
  <c r="A11" i="2"/>
  <c r="G10" i="2"/>
  <c r="B10" i="2"/>
  <c r="A10" i="2"/>
  <c r="G9" i="2"/>
  <c r="B9" i="2"/>
  <c r="A9" i="2"/>
  <c r="C5" i="2"/>
  <c r="N44" i="2"/>
  <c r="N37" i="2"/>
  <c r="N38" i="2"/>
  <c r="N31" i="2"/>
  <c r="N43" i="2"/>
  <c r="N42" i="2"/>
  <c r="E5" i="2" l="1"/>
  <c r="G5" i="2"/>
  <c r="N14" i="2"/>
  <c r="O44" i="2"/>
  <c r="N41" i="2"/>
  <c r="N39" i="2"/>
  <c r="N19" i="2"/>
  <c r="N30" i="2"/>
  <c r="N29" i="2"/>
  <c r="N18" i="2"/>
  <c r="O18" i="2" s="1"/>
  <c r="N40" i="2"/>
  <c r="N16" i="2"/>
  <c r="N12" i="2"/>
  <c r="O12" i="2" s="1"/>
  <c r="N11" i="2"/>
  <c r="N15" i="2"/>
  <c r="N20" i="2"/>
  <c r="N17" i="2"/>
  <c r="N32" i="2" l="1"/>
  <c r="O32" i="2" s="1"/>
  <c r="N45" i="2"/>
  <c r="O45" i="2" s="1"/>
  <c r="A5" i="2"/>
  <c r="O19" i="2"/>
  <c r="O43" i="2"/>
  <c r="O17" i="2"/>
  <c r="O39" i="2"/>
  <c r="O31" i="2"/>
  <c r="O20" i="2"/>
  <c r="O16" i="2"/>
  <c r="O42" i="2"/>
  <c r="O15" i="2"/>
  <c r="O29" i="2"/>
  <c r="O38" i="2"/>
  <c r="N21" i="2"/>
  <c r="O21" i="2" s="1"/>
  <c r="O40" i="2"/>
  <c r="O30" i="2"/>
  <c r="O37" i="2"/>
  <c r="O11" i="2"/>
  <c r="O41" i="2"/>
  <c r="O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Anabela Ciccioli</author>
  </authors>
  <commentList>
    <comment ref="A1" authorId="0" shapeId="0" xr:uid="{BF10F3EF-15BD-4EC6-BD98-641EDD7D5E3E}">
      <text>
        <r>
          <rPr>
            <b/>
            <sz val="9"/>
            <color indexed="81"/>
            <rFont val="Tahoma"/>
            <charset val="1"/>
          </rPr>
          <t>Anabela Ciccioli:</t>
        </r>
        <r>
          <rPr>
            <sz val="9"/>
            <color indexed="81"/>
            <rFont val="Tahoma"/>
            <charset val="1"/>
          </rPr>
          <t xml:space="preserve">
SEMANA NUEVA: pegá las filas al FINAL de esta hoja (debajo de la última fila), NO insertes en el medio (rompe los vínculos del reporte). Después avisale a Claude para actualizar el 'Reporte Dirección' y armar el filtro por semana con datos reales.</t>
        </r>
      </text>
    </comment>
  </commentList>
</comments>
</file>

<file path=xl/sharedStrings.xml><?xml version="1.0" encoding="utf-8"?>
<sst xmlns="http://schemas.openxmlformats.org/spreadsheetml/2006/main" count="881" uniqueCount="163">
  <si>
    <t>REPORTE SEMANAL DE GASTOS DE CAMPO — TSDOCS</t>
  </si>
  <si>
    <t>Período 01/06 al 07/06 · Gastos NO pagados ni contabilizados en Finnegans (en plataforma TSDOCS)</t>
  </si>
  <si>
    <t>Importes en pesos ($). Estados: Pivot = pend. de autorizar · Gerente = asignado, pend. de autorizar · Analista = autorizado, pend. de pago · Verificado = pasado/listo para pagar</t>
  </si>
  <si>
    <t>TOTAL GASTOS</t>
  </si>
  <si>
    <t>COMPROBANTES</t>
  </si>
  <si>
    <t>AUTORIZADO, PEND. DE PAGO (Analista)</t>
  </si>
  <si>
    <t>PASADO A PAGAR (Verificado)</t>
  </si>
  <si>
    <t>Autorizante</t>
  </si>
  <si>
    <t>Proveedor</t>
  </si>
  <si>
    <t>Campo</t>
  </si>
  <si>
    <t>Unidad / Centro de Costo</t>
  </si>
  <si>
    <t>Detalle del gasto</t>
  </si>
  <si>
    <t>Estado</t>
  </si>
  <si>
    <t>Importe ($)</t>
  </si>
  <si>
    <t>Cuenta / Concepto</t>
  </si>
  <si>
    <t>Id Doc</t>
  </si>
  <si>
    <t>RESUMEN POR AUTORIZANTE · ¿En qué se gasta?</t>
  </si>
  <si>
    <t>25 de Mayo</t>
  </si>
  <si>
    <t>Feedlot</t>
  </si>
  <si>
    <t>Flete de hacienda a Frigorífico La Anónima</t>
  </si>
  <si>
    <t>Verificado</t>
  </si>
  <si>
    <t>Fletes</t>
  </si>
  <si>
    <t>Winifreda</t>
  </si>
  <si>
    <t>Cría</t>
  </si>
  <si>
    <t>Pasajes de personal (salida de franco, mayo)</t>
  </si>
  <si>
    <t>Analista</t>
  </si>
  <si>
    <t>Personal</t>
  </si>
  <si>
    <t>Campo / Locación</t>
  </si>
  <si>
    <t>% del total</t>
  </si>
  <si>
    <t>Manta para tanque de Alto Pincén</t>
  </si>
  <si>
    <t>Maquinaria</t>
  </si>
  <si>
    <t>Cristian Amaya</t>
  </si>
  <si>
    <t>Vacunas, varillas, raspaje 42 toros, sangrado Brucelosis</t>
  </si>
  <si>
    <t>Sanidad / Veterinaria</t>
  </si>
  <si>
    <t>Agricultura</t>
  </si>
  <si>
    <t>Honorarios Asesores Externos</t>
  </si>
  <si>
    <t>Subtotal Cristian Amaya</t>
  </si>
  <si>
    <t>Ab Energía</t>
  </si>
  <si>
    <t>Planta</t>
  </si>
  <si>
    <t>AB Energía</t>
  </si>
  <si>
    <t>Energía / Servicios</t>
  </si>
  <si>
    <t>Daniel Barruti</t>
  </si>
  <si>
    <t>Empresa de maquinaria</t>
  </si>
  <si>
    <t>A distribuir a Centro de Costo</t>
  </si>
  <si>
    <t>Administración (sin asignar a CC operativo)</t>
  </si>
  <si>
    <t>Administración</t>
  </si>
  <si>
    <t>Subtotal Daniel Barruti</t>
  </si>
  <si>
    <t>Sandra Bartucci</t>
  </si>
  <si>
    <t>Subtotal Sandra Bartucci</t>
  </si>
  <si>
    <t>Personal (sin asignar a CC operativo)</t>
  </si>
  <si>
    <t>TOTAL GENERAL</t>
  </si>
  <si>
    <t>Empresa de maquinaria (generador portátil)</t>
  </si>
  <si>
    <t>AB Energía (Daniel)</t>
  </si>
  <si>
    <t>Servicio chillers J-501/J-502 (cableado por roedores)</t>
  </si>
  <si>
    <t>Mantenimiento Equipos</t>
  </si>
  <si>
    <t>PROMPT REUTILIZABLE — Reporte semanal de gastos TSDOCS para Dirección</t>
  </si>
  <si>
    <t>Copiar y pegar este texto la próxima semana, junto con la nueva descarga de TSDOCS:</t>
  </si>
  <si>
    <t>TOTAL</t>
  </si>
  <si>
    <t>Armá el reporte semanal de gastos de campo (TSDOCS) para Dirección, sobre la descarga cruda de la plataforma. Contexto: son gastos NO pagados ni contabilizados en Finnegans; están en TSDOCS. TSDOCS muestra UNA FILA POR CADA ESTADO que atravesó la factura, así que cada documento (col. A = Id Documento) aparece repetido. El importe (col. L) es ÚNICO por documento. Tomar UNA sola vez por documento el importe, y como estado válido EL MÁS AVANZADO según este orden: 1° Pivot → 2° Gerente → 3° Analista → 4° Verificado.
ESTADOS (significado): Pivot = pendiente de autorizar (sin asignar) · Gerente = asignado a alguien pero pendiente de autorizar · Analista = autorizado, pendiente de pago (autorizante en col. P) · Verificado = contabilizado/pasado a pagar en Finnegans. INCLUIR TODOS los comprobantes; si el más avanzado es Pivot, en Autorizante poner 'Sin asignar'.
CLASIFICACIÓN — separar Unidad de Cuenta:
• UNIDAD / CENTRO DE COSTO = SOLO el nombre de la unidad de negocio: Planta, Agricultura, Feedlot, Cría (o 'A distribuir a Centro de Costo'). SIN '(Maquinaria)' ni '(Energía)'.
• CUENTA CONTABLE (columna aparte) = tipo de gasto: Fletes, Maquinaria, Personal, Administración, Energía / Servicios, Sanidad / Veterinaria, Honorarios Asesores Externos, Mantenimiento Equipos (ej. servicio de chillers / reparación de equipos).
Mapeo por Campo → Unidad (leer detalle col. R):
• 25-FEED LOT → Campo 25 de Mayo · Unidad Feedlot
• 25-EMPRESA MAQUINARIA → Campo 25 de Mayo · Unidad Agricultura · Cuenta Maquinaria
• WINIFREDA / W → Campo Winifreda · Unidad SIEMPRE Cría (nunca 'A distribuir')
• AB ENERGÍA → Campo Ab Energía · Unidad Planta (solo 'Planta') · Cuenta Energía / Servicios
• 25-ADMINISTRACIÓN, 25-PERSONAL y demás CC de 25 no distribuibles → Campo 25 de Mayo · Unidad 'A distribuir a Centro de Costo'.
REGLAS POR PROVEEDOR (prioridad):
• GARCIA NICOLAS DANIEL → Campo 25 de Mayo · Unidad Agricultura · Cuenta 'Honorarios Asesores Externos' (NO maquinaria).
• Servicios de reparación/mantenimiento de equipos (ej. chillers J-501/J-502) → Cuenta 'Mantenimiento Equipos'.
Pulí el detalle de col. R (saca '=CC:...' y corrige codificación: Razón, ADMINISTRACIÓN, ENERGÍA).
SALIDA en hoja 'Reporte Dirección' (data cruda intacta):
1) Título + período + nota de estados.
2) BANDA DE KPIs: Total $, Cantidad de comprobantes, 'Autorizado pend. pago' (suma Analista), 'Pasado a pagar' (suma Verificado).
3) Tabla DETALLE ORDENADA POR AUTORIZANTE, 1 fila por factura. Columnas: Autorizante · Proveedor · Campo · Unidad/CC · Detalle · Estado · Importe ($) · Cuenta Contable · Id Doc. Importe/Proveedor/Autorizante vinculados por fórmula a la fila del estado más avanzado en la cruda. Total con SUM. Columnas compactas (100% sin scroll).
4) Formato condicional: semáforo Estado (Verificado=verde, Analista=amarillo, Gerente=naranja, Pivot=gris); barras de datos en Importe.
5) RESUMEN POR AUTORIZANTE → Campo → Unidad (SUMIFS, subtotales, %). Línea Agricultura usar criterio 'Agricultura*'.
6) RESUMEN POR CAMPO (SUMIFS, %).
7) RESUMEN POR CUENTA CONTABLE (SUMIFS, %).
8) DASHBOARD aparte: KPIs + dona por Campo + barras por Cuenta + dona por Autorizante.
Formato: importes $#,##0 (negativos entre paréntesis, ceros '-'); encabezados azul #1F4E78 texto blanco; subtotales gris. Español (es-AR).
NOTA DE CONTROL: verificar que el total cuadre sumando importe único por documento.</t>
  </si>
  <si>
    <t>RESUMEN POR CUENTA / CONCEPTO</t>
  </si>
  <si>
    <t>DASHBOARD — Gastos de Campo TSDOCS</t>
  </si>
  <si>
    <t>Período 01/06 al 07/06 · Gastos no pagados ni contabilizados en Finnegans (plataforma TSDOCS)</t>
  </si>
  <si>
    <t>TOTAL DE GASTOS</t>
  </si>
  <si>
    <t>AUTORIZADO, PEND. PAGO</t>
  </si>
  <si>
    <t>PASADO A PAGAR</t>
  </si>
  <si>
    <t>TOP 3 GASTOS DE LA SEMANA</t>
  </si>
  <si>
    <t>HISTÓRICO SEMANAL</t>
  </si>
  <si>
    <t>Concepto</t>
  </si>
  <si>
    <t>Importe</t>
  </si>
  <si>
    <t>% s/total</t>
  </si>
  <si>
    <t>Semana</t>
  </si>
  <si>
    <t>Total $</t>
  </si>
  <si>
    <t>Comprob.</t>
  </si>
  <si>
    <t>01/06 al 07/06</t>
  </si>
  <si>
    <t>Agregá una fila por semana para ver el comparativo.</t>
  </si>
  <si>
    <t>Datos fuente de los gráficos (vinculados a Reporte Dirección)</t>
  </si>
  <si>
    <t>Por Campo</t>
  </si>
  <si>
    <t>Por Cuenta</t>
  </si>
  <si>
    <t>Por Autorizante</t>
  </si>
  <si>
    <t>Id Documento</t>
  </si>
  <si>
    <t>Numero de factura</t>
  </si>
  <si>
    <t>CUIT</t>
  </si>
  <si>
    <t>RazÃ³n Social</t>
  </si>
  <si>
    <t>NÃºmero de acreedor</t>
  </si>
  <si>
    <t>Moneda</t>
  </si>
  <si>
    <t>Cotizacion</t>
  </si>
  <si>
    <t>Fecha de emisiÃ³n</t>
  </si>
  <si>
    <t>Orden de compra</t>
  </si>
  <si>
    <t>CAE</t>
  </si>
  <si>
    <t>Vencimiento CAE</t>
  </si>
  <si>
    <t>Estado CAE</t>
  </si>
  <si>
    <t>Tipo de Documento</t>
  </si>
  <si>
    <t>Sociedad</t>
  </si>
  <si>
    <t>Fecha de autorizacion</t>
  </si>
  <si>
    <t>Detalle</t>
  </si>
  <si>
    <t>Fecha de Verificacion</t>
  </si>
  <si>
    <t>Usuario Verifica</t>
  </si>
  <si>
    <t>Fecha de Carga</t>
  </si>
  <si>
    <t>Usuario de Carga</t>
  </si>
  <si>
    <t>Estado del Workflow</t>
  </si>
  <si>
    <t>Grupo Asignado</t>
  </si>
  <si>
    <t>Fecha Movimiento WF</t>
  </si>
  <si>
    <t>Usuario Movimiento WF</t>
  </si>
  <si>
    <t>ObservaciÃ³n</t>
  </si>
  <si>
    <t>00005A00005786</t>
  </si>
  <si>
    <t>IKES JUAN CARLOS</t>
  </si>
  <si>
    <t>PESO</t>
  </si>
  <si>
    <t>Factura</t>
  </si>
  <si>
    <t>ABAG</t>
  </si>
  <si>
    <t>Flete de Hacienda a Frigorifico de La Anonima =CC: 25-FEED LOT</t>
  </si>
  <si>
    <t>Daiana Ortega</t>
  </si>
  <si>
    <t>daiana.ortega@abagrosa.com</t>
  </si>
  <si>
    <t>Facturacion</t>
  </si>
  <si>
    <t>Pivot</t>
  </si>
  <si>
    <t>Gerente</t>
  </si>
  <si>
    <t>AGRO</t>
  </si>
  <si>
    <t>AsignaciÃ³n AutomÃ¡tica</t>
  </si>
  <si>
    <t>cristian.amaya@abagrosa.com</t>
  </si>
  <si>
    <t>00002C00000169</t>
  </si>
  <si>
    <t>GARCIA NICOLAS DANIEL</t>
  </si>
  <si>
    <t>25-ADMINISTRACIÃ“N</t>
  </si>
  <si>
    <t>dbarruti@abagrosa.com</t>
  </si>
  <si>
    <t>00002C00000170</t>
  </si>
  <si>
    <t>00001A00016365</t>
  </si>
  <si>
    <t>HIDRAULICA CVC S.A.S.</t>
  </si>
  <si>
    <t>ABEN</t>
  </si>
  <si>
    <t>AB ENERGÃA</t>
  </si>
  <si>
    <t>ENERGIA</t>
  </si>
  <si>
    <t>00001A00016256</t>
  </si>
  <si>
    <t>25-EMPRESA MAQUINARIA</t>
  </si>
  <si>
    <t>00010A00419893</t>
  </si>
  <si>
    <t>TRANSPORTE EL PAMPERO SRL</t>
  </si>
  <si>
    <t>00010A00419783</t>
  </si>
  <si>
    <t>REPUESTO FONTANINI</t>
  </si>
  <si>
    <t>00010A00419913</t>
  </si>
  <si>
    <t>CUBIERTAS TBH</t>
  </si>
  <si>
    <t>00006A00052756</t>
  </si>
  <si>
    <t>COOP REGIONAL DE PROV DE SERVICIOS PUB Y SOCIALES DEL OESTE PAMPEANO LTDA</t>
  </si>
  <si>
    <t>ENERGÃA CASAS</t>
  </si>
  <si>
    <t>00003A00003339</t>
  </si>
  <si>
    <t>EMPRESA EL CEIBO SRL</t>
  </si>
  <si>
    <t>Pasajes de Perez y Orueta en su salida de franco en mes de Mayo=CC: W-PERSONAL</t>
  </si>
  <si>
    <t>00002A00004213</t>
  </si>
  <si>
    <t>BERGONDI MIGUEL ANGEL</t>
  </si>
  <si>
    <t>25-PERSONAL</t>
  </si>
  <si>
    <t>00010A00420117</t>
  </si>
  <si>
    <t>00002C00000375</t>
  </si>
  <si>
    <t>GONZALEZ IGNACIO GENARO</t>
  </si>
  <si>
    <t>Servicios a J-501 y J-502 (Chillers). RevisiÃ³n cableado por daÃ±o por roedores</t>
  </si>
  <si>
    <t>sandrabartucci</t>
  </si>
  <si>
    <t>00002A00010408</t>
  </si>
  <si>
    <t>AC ELECTRICIDAD SAS</t>
  </si>
  <si>
    <t>GENERADOR PORTÃTIL</t>
  </si>
  <si>
    <t>00003A00020996</t>
  </si>
  <si>
    <t>AGUADAS ALOMAR SRL</t>
  </si>
  <si>
    <t>Manta para tanque de alto pincen=CC: WINIFREDA EL PINCEN-CRIA</t>
  </si>
  <si>
    <t>00003A00002037</t>
  </si>
  <si>
    <t>GABINO RAUL PASCUAL</t>
  </si>
  <si>
    <t>Vacunas, varillas para bollero, Raspaje a 42 Toros, sangrado obligatorio Brucelosis= CC: WINIFREDA EL PINCEN-CRIA</t>
  </si>
  <si>
    <t>00010A00409893</t>
  </si>
  <si>
    <t>00001C00000279</t>
  </si>
  <si>
    <t>GARRO MONICA ALEJANDRA</t>
  </si>
  <si>
    <t>AB ENERGÃA (DANIEL)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</si>
</sst>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$_-;\-* #,##0.00\ _$_-;_-* &quot;-&quot;??\ _$_-;_-@_-"/>
    <numFmt numFmtId="165" formatCode="&quot;$&quot;#,##0;\(&quot;$&quot;#,##0\);\-"/>
    <numFmt numFmtId="166" formatCode="0.0%"/>
    <numFmt numFmtId="167" formatCode="&quot;$&quot;#,##0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0"/>
      <color rgb="FF595959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1F4E7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8"/>
      <color rgb="FF1F4E78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8"/>
      <color rgb="FF2E7D32"/>
      <name val="Calibri"/>
      <family val="2"/>
      <scheme val="minor"/>
    </font>
    <font>
      <b/>
      <sz val="18"/>
      <color rgb="FF8B6508"/>
      <name val="Calibri"/>
      <family val="2"/>
      <scheme val="minor"/>
    </font>
    <font>
      <b/>
      <sz val="18"/>
      <color rgb="FF61616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3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8"/>
      <color rgb="FF1F6B2E"/>
      <name val="Calibri"/>
      <family val="2"/>
      <scheme val="minor"/>
    </font>
    <font>
      <b/>
      <sz val="20"/>
      <color rgb="FF1F4E78"/>
      <name val="Calibri"/>
      <family val="2"/>
      <scheme val="minor"/>
    </font>
    <font>
      <b/>
      <sz val="20"/>
      <color rgb="FF5B5B5B"/>
      <name val="Calibri"/>
      <family val="2"/>
      <scheme val="minor"/>
    </font>
    <font>
      <b/>
      <sz val="20"/>
      <color rgb="FF8B6508"/>
      <name val="Calibri"/>
      <family val="2"/>
      <scheme val="minor"/>
    </font>
    <font>
      <b/>
      <sz val="20"/>
      <color rgb="FF1F6B2E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2"/>
      <color rgb="FF1F4E78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EAF3EA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9E9E9E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5B5B5B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auto="1"/>
      </bottom>
      <diagonal/>
    </border>
    <border>
      <left/>
      <right/>
      <top style="thin">
        <color rgb="FFBFBFBF"/>
      </top>
      <bottom style="thin">
        <color auto="1"/>
      </bottom>
      <diagonal/>
    </border>
    <border>
      <left/>
      <right/>
      <top style="thin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BFBFBF"/>
      </bottom>
      <diagonal/>
    </border>
    <border>
      <left/>
      <right style="thin">
        <color auto="1"/>
      </right>
      <top style="thin">
        <color rgb="FFBFBFBF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rgb="FFBFBFBF"/>
      </left>
      <right style="thin">
        <color auto="1"/>
      </right>
      <top/>
      <bottom/>
      <diagonal/>
    </border>
    <border>
      <left style="thin">
        <color auto="1"/>
      </left>
      <right style="thin">
        <color rgb="FFBFBFBF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auto="1"/>
      </bottom>
      <diagonal/>
    </border>
    <border>
      <left style="thin">
        <color rgb="FFBFBFBF"/>
      </left>
      <right style="thin">
        <color auto="1"/>
      </right>
      <top/>
      <bottom style="thin">
        <color auto="1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9">
    <xf numFmtId="0" fontId="0" fillId="0" borderId="0" xfId="0"/>
    <xf numFmtId="164" fontId="0" fillId="0" borderId="0" xfId="1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/>
    <xf numFmtId="0" fontId="22" fillId="0" borderId="0" xfId="0" applyFont="1"/>
    <xf numFmtId="0" fontId="23" fillId="0" borderId="0" xfId="0" applyFont="1"/>
    <xf numFmtId="165" fontId="16" fillId="36" borderId="0" xfId="0" applyNumberFormat="1" applyFont="1" applyFill="1"/>
    <xf numFmtId="165" fontId="21" fillId="34" borderId="0" xfId="0" applyNumberFormat="1" applyFont="1" applyFill="1"/>
    <xf numFmtId="166" fontId="21" fillId="34" borderId="0" xfId="0" applyNumberFormat="1" applyFont="1" applyFill="1"/>
    <xf numFmtId="0" fontId="0" fillId="0" borderId="11" xfId="0" applyBorder="1"/>
    <xf numFmtId="165" fontId="0" fillId="0" borderId="11" xfId="0" applyNumberFormat="1" applyBorder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21" fillId="34" borderId="16" xfId="0" applyFont="1" applyFill="1" applyBorder="1"/>
    <xf numFmtId="0" fontId="21" fillId="34" borderId="16" xfId="0" applyFont="1" applyFill="1" applyBorder="1" applyAlignment="1">
      <alignment horizontal="center"/>
    </xf>
    <xf numFmtId="0" fontId="0" fillId="0" borderId="19" xfId="0" applyBorder="1"/>
    <xf numFmtId="0" fontId="21" fillId="34" borderId="21" xfId="0" applyFont="1" applyFill="1" applyBorder="1" applyAlignment="1">
      <alignment horizontal="right"/>
    </xf>
    <xf numFmtId="165" fontId="0" fillId="0" borderId="14" xfId="0" applyNumberFormat="1" applyBorder="1"/>
    <xf numFmtId="165" fontId="16" fillId="36" borderId="14" xfId="0" applyNumberFormat="1" applyFont="1" applyFill="1" applyBorder="1"/>
    <xf numFmtId="165" fontId="21" fillId="34" borderId="15" xfId="0" applyNumberFormat="1" applyFont="1" applyFill="1" applyBorder="1"/>
    <xf numFmtId="0" fontId="21" fillId="34" borderId="16" xfId="0" applyFont="1" applyFill="1" applyBorder="1" applyAlignment="1">
      <alignment horizontal="right"/>
    </xf>
    <xf numFmtId="0" fontId="21" fillId="34" borderId="18" xfId="0" applyFont="1" applyFill="1" applyBorder="1"/>
    <xf numFmtId="0" fontId="16" fillId="35" borderId="19" xfId="0" applyFont="1" applyFill="1" applyBorder="1"/>
    <xf numFmtId="0" fontId="23" fillId="0" borderId="19" xfId="0" applyFont="1" applyBorder="1"/>
    <xf numFmtId="166" fontId="0" fillId="0" borderId="22" xfId="0" applyNumberFormat="1" applyBorder="1"/>
    <xf numFmtId="166" fontId="16" fillId="36" borderId="22" xfId="0" applyNumberFormat="1" applyFont="1" applyFill="1" applyBorder="1"/>
    <xf numFmtId="166" fontId="21" fillId="34" borderId="23" xfId="0" applyNumberFormat="1" applyFont="1" applyFill="1" applyBorder="1"/>
    <xf numFmtId="0" fontId="0" fillId="0" borderId="24" xfId="0" applyBorder="1"/>
    <xf numFmtId="165" fontId="16" fillId="35" borderId="24" xfId="0" applyNumberFormat="1" applyFont="1" applyFill="1" applyBorder="1"/>
    <xf numFmtId="0" fontId="0" fillId="0" borderId="25" xfId="0" applyBorder="1"/>
    <xf numFmtId="0" fontId="21" fillId="34" borderId="25" xfId="0" applyFont="1" applyFill="1" applyBorder="1" applyAlignment="1">
      <alignment horizontal="right"/>
    </xf>
    <xf numFmtId="0" fontId="21" fillId="34" borderId="26" xfId="0" applyFont="1" applyFill="1" applyBorder="1"/>
    <xf numFmtId="0" fontId="0" fillId="0" borderId="13" xfId="0" applyBorder="1"/>
    <xf numFmtId="0" fontId="16" fillId="35" borderId="27" xfId="0" applyFont="1" applyFill="1" applyBorder="1"/>
    <xf numFmtId="0" fontId="21" fillId="34" borderId="28" xfId="0" applyFont="1" applyFill="1" applyBorder="1" applyAlignment="1">
      <alignment horizontal="right"/>
    </xf>
    <xf numFmtId="166" fontId="0" fillId="0" borderId="12" xfId="0" applyNumberFormat="1" applyBorder="1"/>
    <xf numFmtId="166" fontId="16" fillId="35" borderId="29" xfId="0" applyNumberFormat="1" applyFont="1" applyFill="1" applyBorder="1"/>
    <xf numFmtId="0" fontId="25" fillId="0" borderId="0" xfId="0" applyFont="1"/>
    <xf numFmtId="14" fontId="0" fillId="0" borderId="0" xfId="0" applyNumberFormat="1"/>
    <xf numFmtId="164" fontId="0" fillId="0" borderId="0" xfId="1" applyFont="1" applyFill="1"/>
    <xf numFmtId="47" fontId="0" fillId="0" borderId="0" xfId="0" applyNumberFormat="1"/>
    <xf numFmtId="22" fontId="0" fillId="0" borderId="0" xfId="0" applyNumberFormat="1"/>
    <xf numFmtId="0" fontId="21" fillId="34" borderId="21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4" xfId="0" applyBorder="1"/>
    <xf numFmtId="165" fontId="0" fillId="0" borderId="0" xfId="0" applyNumberFormat="1"/>
    <xf numFmtId="166" fontId="0" fillId="0" borderId="35" xfId="0" applyNumberFormat="1" applyBorder="1"/>
    <xf numFmtId="0" fontId="13" fillId="44" borderId="36" xfId="0" applyFont="1" applyFill="1" applyBorder="1"/>
    <xf numFmtId="0" fontId="13" fillId="44" borderId="37" xfId="0" applyFont="1" applyFill="1" applyBorder="1"/>
    <xf numFmtId="164" fontId="13" fillId="44" borderId="37" xfId="1" applyFont="1" applyFill="1" applyBorder="1"/>
    <xf numFmtId="0" fontId="13" fillId="33" borderId="37" xfId="0" applyFont="1" applyFill="1" applyBorder="1"/>
    <xf numFmtId="0" fontId="16" fillId="0" borderId="14" xfId="0" applyFont="1" applyBorder="1" applyAlignment="1">
      <alignment horizontal="right"/>
    </xf>
    <xf numFmtId="0" fontId="0" fillId="0" borderId="41" xfId="0" applyBorder="1"/>
    <xf numFmtId="0" fontId="0" fillId="0" borderId="22" xfId="0" applyBorder="1"/>
    <xf numFmtId="0" fontId="16" fillId="0" borderId="40" xfId="0" applyFont="1" applyBorder="1" applyAlignment="1">
      <alignment horizontal="right"/>
    </xf>
    <xf numFmtId="0" fontId="0" fillId="35" borderId="40" xfId="0" applyFill="1" applyBorder="1"/>
    <xf numFmtId="166" fontId="16" fillId="36" borderId="38" xfId="0" applyNumberFormat="1" applyFont="1" applyFill="1" applyBorder="1"/>
    <xf numFmtId="0" fontId="0" fillId="0" borderId="39" xfId="0" applyBorder="1"/>
    <xf numFmtId="165" fontId="16" fillId="35" borderId="14" xfId="0" applyNumberFormat="1" applyFont="1" applyFill="1" applyBorder="1"/>
    <xf numFmtId="0" fontId="32" fillId="34" borderId="0" xfId="0" applyFont="1" applyFill="1"/>
    <xf numFmtId="0" fontId="0" fillId="0" borderId="40" xfId="0" applyBorder="1"/>
    <xf numFmtId="167" fontId="0" fillId="0" borderId="0" xfId="0" applyNumberFormat="1"/>
    <xf numFmtId="165" fontId="16" fillId="35" borderId="40" xfId="0" applyNumberFormat="1" applyFont="1" applyFill="1" applyBorder="1"/>
    <xf numFmtId="0" fontId="0" fillId="35" borderId="14" xfId="0" applyFill="1" applyBorder="1"/>
    <xf numFmtId="0" fontId="21" fillId="35" borderId="20" xfId="0" applyFont="1" applyFill="1" applyBorder="1"/>
    <xf numFmtId="0" fontId="39" fillId="42" borderId="0" xfId="0" applyFont="1" applyFill="1"/>
    <xf numFmtId="0" fontId="40" fillId="0" borderId="0" xfId="0" applyFont="1"/>
    <xf numFmtId="0" fontId="21" fillId="34" borderId="14" xfId="0" applyFont="1" applyFill="1" applyBorder="1"/>
    <xf numFmtId="0" fontId="21" fillId="34" borderId="14" xfId="0" applyFont="1" applyFill="1" applyBorder="1" applyAlignment="1">
      <alignment horizontal="right"/>
    </xf>
    <xf numFmtId="167" fontId="0" fillId="0" borderId="14" xfId="0" applyNumberFormat="1" applyBorder="1"/>
    <xf numFmtId="166" fontId="0" fillId="0" borderId="14" xfId="0" applyNumberFormat="1" applyBorder="1"/>
    <xf numFmtId="0" fontId="0" fillId="0" borderId="14" xfId="0" applyBorder="1" applyAlignment="1">
      <alignment horizontal="right"/>
    </xf>
    <xf numFmtId="0" fontId="24" fillId="37" borderId="17" xfId="0" applyFont="1" applyFill="1" applyBorder="1" applyAlignment="1">
      <alignment vertical="top" wrapText="1"/>
    </xf>
    <xf numFmtId="0" fontId="24" fillId="37" borderId="10" xfId="0" applyFont="1" applyFill="1" applyBorder="1" applyAlignment="1">
      <alignment vertical="top" wrapText="1"/>
    </xf>
    <xf numFmtId="0" fontId="24" fillId="37" borderId="30" xfId="0" applyFont="1" applyFill="1" applyBorder="1" applyAlignment="1">
      <alignment vertical="top" wrapText="1"/>
    </xf>
    <xf numFmtId="0" fontId="26" fillId="34" borderId="32" xfId="0" applyFont="1" applyFill="1" applyBorder="1" applyAlignment="1">
      <alignment horizontal="center" vertical="center"/>
    </xf>
    <xf numFmtId="167" fontId="25" fillId="38" borderId="33" xfId="0" applyNumberFormat="1" applyFont="1" applyFill="1" applyBorder="1" applyAlignment="1">
      <alignment horizontal="center" vertical="center"/>
    </xf>
    <xf numFmtId="0" fontId="26" fillId="40" borderId="32" xfId="0" applyFont="1" applyFill="1" applyBorder="1" applyAlignment="1">
      <alignment horizontal="center" vertical="center"/>
    </xf>
    <xf numFmtId="0" fontId="27" fillId="39" borderId="33" xfId="0" applyFont="1" applyFill="1" applyBorder="1" applyAlignment="1">
      <alignment horizontal="center" vertical="center"/>
    </xf>
    <xf numFmtId="0" fontId="33" fillId="41" borderId="32" xfId="0" applyFont="1" applyFill="1" applyBorder="1" applyAlignment="1">
      <alignment horizontal="center" vertical="center"/>
    </xf>
    <xf numFmtId="0" fontId="26" fillId="41" borderId="32" xfId="0" applyFont="1" applyFill="1" applyBorder="1" applyAlignment="1">
      <alignment horizontal="center" vertical="center"/>
    </xf>
    <xf numFmtId="167" fontId="28" fillId="42" borderId="33" xfId="0" applyNumberFormat="1" applyFont="1" applyFill="1" applyBorder="1" applyAlignment="1">
      <alignment horizontal="center" vertical="center"/>
    </xf>
    <xf numFmtId="0" fontId="33" fillId="40" borderId="32" xfId="0" applyFont="1" applyFill="1" applyBorder="1" applyAlignment="1">
      <alignment horizontal="center" vertical="center"/>
    </xf>
    <xf numFmtId="0" fontId="26" fillId="43" borderId="32" xfId="0" applyFont="1" applyFill="1" applyBorder="1" applyAlignment="1">
      <alignment horizontal="center" vertical="center"/>
    </xf>
    <xf numFmtId="167" fontId="34" fillId="39" borderId="33" xfId="0" applyNumberFormat="1" applyFont="1" applyFill="1" applyBorder="1" applyAlignment="1">
      <alignment horizontal="center" vertical="center"/>
    </xf>
    <xf numFmtId="167" fontId="29" fillId="36" borderId="33" xfId="0" applyNumberFormat="1" applyFont="1" applyFill="1" applyBorder="1" applyAlignment="1">
      <alignment horizontal="center" vertical="center"/>
    </xf>
    <xf numFmtId="0" fontId="26" fillId="40" borderId="31" xfId="0" applyFont="1" applyFill="1" applyBorder="1" applyAlignment="1">
      <alignment horizontal="center" vertical="center"/>
    </xf>
    <xf numFmtId="167" fontId="38" fillId="39" borderId="31" xfId="0" applyNumberFormat="1" applyFont="1" applyFill="1" applyBorder="1" applyAlignment="1">
      <alignment horizontal="center" vertical="center"/>
    </xf>
    <xf numFmtId="0" fontId="26" fillId="34" borderId="31" xfId="0" applyFont="1" applyFill="1" applyBorder="1" applyAlignment="1">
      <alignment horizontal="center" vertical="center"/>
    </xf>
    <xf numFmtId="167" fontId="35" fillId="38" borderId="31" xfId="0" applyNumberFormat="1" applyFont="1" applyFill="1" applyBorder="1" applyAlignment="1">
      <alignment horizontal="center" vertical="center"/>
    </xf>
    <xf numFmtId="0" fontId="26" fillId="45" borderId="31" xfId="0" applyFont="1" applyFill="1" applyBorder="1" applyAlignment="1">
      <alignment horizontal="center" vertical="center"/>
    </xf>
    <xf numFmtId="0" fontId="36" fillId="36" borderId="31" xfId="0" applyFont="1" applyFill="1" applyBorder="1" applyAlignment="1">
      <alignment horizontal="center" vertical="center"/>
    </xf>
    <xf numFmtId="0" fontId="26" fillId="41" borderId="31" xfId="0" applyFont="1" applyFill="1" applyBorder="1" applyAlignment="1">
      <alignment horizontal="center" vertical="center"/>
    </xf>
    <xf numFmtId="167" fontId="37" fillId="42" borderId="31" xfId="0" applyNumberFormat="1" applyFont="1" applyFill="1" applyBorder="1" applyAlignment="1">
      <alignment horizontal="center" vertical="center"/>
    </xf>
    <xf numFmtId="0" fontId="21" fillId="34" borderId="14" xfId="0" applyFont="1" applyFill="1" applyBorder="1" applyAlignment="1"/>
    <xf numFmtId="0" fontId="0" fillId="0" borderId="14" xfId="0" applyBorder="1" applyAlignme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4">
    <dxf>
      <font>
        <b/>
        <i val="0"/>
        <color rgb="FF974706"/>
      </font>
      <fill>
        <patternFill patternType="solid">
          <fgColor indexed="64"/>
          <bgColor rgb="FFFCE4D6"/>
        </patternFill>
      </fill>
    </dxf>
    <dxf>
      <font>
        <b/>
        <i val="0"/>
        <color rgb="FF555555"/>
      </font>
      <fill>
        <patternFill patternType="solid">
          <fgColor indexed="64"/>
          <bgColor rgb="FFE0E0E0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 por Campo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68-4696-ABE1-FC0764FBA3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68-4696-ABE1-FC0764FBA3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68-4696-ABE1-FC0764FBA3FC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Dashboard!$A$46:$A$48</c:f>
              <c:strCache>
                <c:ptCount val="3"/>
                <c:pt idx="0">
                  <c:v>25 de Mayo</c:v>
                </c:pt>
                <c:pt idx="1">
                  <c:v>Winifreda</c:v>
                </c:pt>
                <c:pt idx="2">
                  <c:v>Ab Energía</c:v>
                </c:pt>
              </c:strCache>
            </c:strRef>
          </c:cat>
          <c:val>
            <c:numRef>
              <c:f>Dashboard!$B$46:$B$48</c:f>
              <c:numCache>
                <c:formatCode>"$"#,##0</c:formatCode>
                <c:ptCount val="3"/>
                <c:pt idx="0">
                  <c:v>9444411.8000000007</c:v>
                </c:pt>
                <c:pt idx="1">
                  <c:v>10598558.15</c:v>
                </c:pt>
                <c:pt idx="2">
                  <c:v>2832611.4299999997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5-49E3-A4DA-96AA9FC49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 por Cuenta Contable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Dashboard!$D$46:$D$53</c:f>
              <c:strCache>
                <c:ptCount val="8"/>
                <c:pt idx="0">
                  <c:v>Maquinaria</c:v>
                </c:pt>
                <c:pt idx="1">
                  <c:v>Administración</c:v>
                </c:pt>
                <c:pt idx="2">
                  <c:v>Personal</c:v>
                </c:pt>
                <c:pt idx="3">
                  <c:v>Fletes</c:v>
                </c:pt>
                <c:pt idx="4">
                  <c:v>Energía / Servicios</c:v>
                </c:pt>
                <c:pt idx="5">
                  <c:v>Sanidad / Veterinaria</c:v>
                </c:pt>
                <c:pt idx="6">
                  <c:v>Honorarios Asesores Externos</c:v>
                </c:pt>
                <c:pt idx="7">
                  <c:v>Mantenimiento Equipos</c:v>
                </c:pt>
              </c:strCache>
            </c:strRef>
          </c:cat>
          <c:val>
            <c:numRef>
              <c:f>Dashboard!$E$46:$E$53</c:f>
              <c:numCache>
                <c:formatCode>"$"#,##0</c:formatCode>
                <c:ptCount val="8"/>
                <c:pt idx="0">
                  <c:v>940127.49</c:v>
                </c:pt>
                <c:pt idx="1">
                  <c:v>60929.31</c:v>
                </c:pt>
                <c:pt idx="2">
                  <c:v>273705</c:v>
                </c:pt>
                <c:pt idx="3">
                  <c:v>2764850</c:v>
                </c:pt>
                <c:pt idx="4">
                  <c:v>1182611.43</c:v>
                </c:pt>
                <c:pt idx="5">
                  <c:v>10229358.15</c:v>
                </c:pt>
                <c:pt idx="6">
                  <c:v>5774000</c:v>
                </c:pt>
                <c:pt idx="7">
                  <c:v>1650000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C-4649-8406-B375F36CE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8626559"/>
        <c:axId val="1837807967"/>
      </c:barChart>
      <c:catAx>
        <c:axId val="1738626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37807967"/>
        <c:crosses val="autoZero"/>
        <c:auto val="1"/>
        <c:lblAlgn val="ctr"/>
        <c:lblOffset val="100"/>
        <c:noMultiLvlLbl val="0"/>
      </c:catAx>
      <c:valAx>
        <c:axId val="183780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862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 por Autorizante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38-492D-96C7-36D6A7D7C7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38-492D-96C7-36D6A7D7C7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38-492D-96C7-36D6A7D7C702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Dashboard!$G$46:$G$48</c:f>
              <c:strCache>
                <c:ptCount val="3"/>
                <c:pt idx="0">
                  <c:v>Cristian Amaya</c:v>
                </c:pt>
                <c:pt idx="1">
                  <c:v>Daniel Barruti</c:v>
                </c:pt>
                <c:pt idx="2">
                  <c:v>Sandra Bartucci</c:v>
                </c:pt>
              </c:strCache>
            </c:strRef>
          </c:cat>
          <c:val>
            <c:numRef>
              <c:f>Dashboard!$H$46:$H$48</c:f>
              <c:numCache>
                <c:formatCode>"$"#,##0</c:formatCode>
                <c:ptCount val="3"/>
                <c:pt idx="0">
                  <c:v>13363408.15</c:v>
                </c:pt>
                <c:pt idx="1">
                  <c:v>7862173.2300000004</c:v>
                </c:pt>
                <c:pt idx="2">
                  <c:v>1650000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3-4030-A313-89BAE278B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 por Campo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09-4221-8D61-11D3671F89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09-4221-8D61-11D3671F89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09-4221-8D61-11D3671F89C1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Dashboard!$A$46:$A$48</c:f>
              <c:strCache>
                <c:ptCount val="3"/>
                <c:pt idx="0">
                  <c:v>25 de Mayo</c:v>
                </c:pt>
                <c:pt idx="1">
                  <c:v>Winifreda</c:v>
                </c:pt>
                <c:pt idx="2">
                  <c:v>Ab Energía</c:v>
                </c:pt>
              </c:strCache>
            </c:strRef>
          </c:cat>
          <c:val>
            <c:numRef>
              <c:f>Dashboard!$B$46:$B$48</c:f>
              <c:numCache>
                <c:formatCode>"$"#,##0</c:formatCode>
                <c:ptCount val="3"/>
                <c:pt idx="0">
                  <c:v>9444411.8000000007</c:v>
                </c:pt>
                <c:pt idx="1">
                  <c:v>10598558.15</c:v>
                </c:pt>
                <c:pt idx="2">
                  <c:v>2832611.4299999997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A-4C39-A15E-E71535822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 por Cuenta Contable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Dashboard!$D$46:$D$53</c:f>
              <c:strCache>
                <c:ptCount val="8"/>
                <c:pt idx="0">
                  <c:v>Maquinaria</c:v>
                </c:pt>
                <c:pt idx="1">
                  <c:v>Administración</c:v>
                </c:pt>
                <c:pt idx="2">
                  <c:v>Personal</c:v>
                </c:pt>
                <c:pt idx="3">
                  <c:v>Fletes</c:v>
                </c:pt>
                <c:pt idx="4">
                  <c:v>Energía / Servicios</c:v>
                </c:pt>
                <c:pt idx="5">
                  <c:v>Sanidad / Veterinaria</c:v>
                </c:pt>
                <c:pt idx="6">
                  <c:v>Honorarios Asesores Externos</c:v>
                </c:pt>
                <c:pt idx="7">
                  <c:v>Mantenimiento Equipos</c:v>
                </c:pt>
              </c:strCache>
            </c:strRef>
          </c:cat>
          <c:val>
            <c:numRef>
              <c:f>Dashboard!$E$46:$E$53</c:f>
              <c:numCache>
                <c:formatCode>"$"#,##0</c:formatCode>
                <c:ptCount val="8"/>
                <c:pt idx="0">
                  <c:v>940127.49</c:v>
                </c:pt>
                <c:pt idx="1">
                  <c:v>60929.31</c:v>
                </c:pt>
                <c:pt idx="2">
                  <c:v>273705</c:v>
                </c:pt>
                <c:pt idx="3">
                  <c:v>2764850</c:v>
                </c:pt>
                <c:pt idx="4">
                  <c:v>1182611.43</c:v>
                </c:pt>
                <c:pt idx="5">
                  <c:v>10229358.15</c:v>
                </c:pt>
                <c:pt idx="6">
                  <c:v>5774000</c:v>
                </c:pt>
                <c:pt idx="7">
                  <c:v>1650000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F-4A29-8D93-1648DBE5E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8467167"/>
        <c:axId val="1178468607"/>
      </c:barChart>
      <c:catAx>
        <c:axId val="1178467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78468607"/>
        <c:crosses val="autoZero"/>
        <c:auto val="1"/>
        <c:lblAlgn val="ctr"/>
        <c:lblOffset val="100"/>
        <c:noMultiLvlLbl val="0"/>
      </c:catAx>
      <c:valAx>
        <c:axId val="117846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7846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 por Autorizante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D8-44B9-B7A6-EA0D21A81A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D8-44B9-B7A6-EA0D21A81A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D8-44B9-B7A6-EA0D21A81A7B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Dashboard!$G$46:$G$48</c:f>
              <c:strCache>
                <c:ptCount val="3"/>
                <c:pt idx="0">
                  <c:v>Cristian Amaya</c:v>
                </c:pt>
                <c:pt idx="1">
                  <c:v>Daniel Barruti</c:v>
                </c:pt>
                <c:pt idx="2">
                  <c:v>Sandra Bartucci</c:v>
                </c:pt>
              </c:strCache>
            </c:strRef>
          </c:cat>
          <c:val>
            <c:numRef>
              <c:f>Dashboard!$H$46:$H$48</c:f>
              <c:numCache>
                <c:formatCode>"$"#,##0</c:formatCode>
                <c:ptCount val="3"/>
                <c:pt idx="0">
                  <c:v>13363408.15</c:v>
                </c:pt>
                <c:pt idx="1">
                  <c:v>7862173.2300000004</c:v>
                </c:pt>
                <c:pt idx="2">
                  <c:v>1650000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A-4488-A054-1C38AB11F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4</xdr:col>
      <xdr:colOff>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40E6F5-368B-E32C-C0EA-F6F36B1A5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D8445A-DB87-96A2-21B0-DED775184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8A482E9-FED4-4875-8877-3DFC13747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</xdr:row>
      <xdr:rowOff>0</xdr:rowOff>
    </xdr:from>
    <xdr:to>
      <xdr:col>4</xdr:col>
      <xdr:colOff>0</xdr:colOff>
      <xdr:row>23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9FE9D9F-D55B-9CB5-3C9D-8459E0146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55386D4-9B88-EB88-8BCC-33114A699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C34C564-B7C4-C3D4-3CAC-C32751C87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A5EA90F-BB4E-4FD2-8F02-B54236AAE6E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dbd94f0-bed7-4b7a-9e7c-6f81c2cf788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C453-85DF-452E-9E08-FC919D3F4C7E}">
  <sheetPr>
    <tabColor rgb="FF1F4E78"/>
  </sheetPr>
  <dimension ref="A1:O45"/>
  <sheetViews>
    <sheetView tabSelected="1" workbookViewId="0">
      <pane ySplit="8" topLeftCell="A9" activePane="bottomLeft" state="frozen"/>
      <selection pane="bottomLeft" activeCell="D18" sqref="D18"/>
      <selection activeCell="G1" sqref="G1"/>
    </sheetView>
  </sheetViews>
  <sheetFormatPr defaultColWidth="11.42578125" defaultRowHeight="14.45"/>
  <cols>
    <col min="1" max="1" width="17" customWidth="1"/>
    <col min="2" max="2" width="27.7109375" customWidth="1"/>
    <col min="3" max="3" width="13" customWidth="1"/>
    <col min="4" max="4" width="25" customWidth="1"/>
    <col min="5" max="5" width="42.5703125" customWidth="1"/>
    <col min="6" max="6" width="12.5703125" customWidth="1"/>
    <col min="7" max="7" width="17.5703125" customWidth="1"/>
    <col min="8" max="8" width="22.28515625" customWidth="1"/>
    <col min="9" max="9" width="9.28515625" customWidth="1"/>
    <col min="10" max="10" width="4.7109375" customWidth="1"/>
    <col min="11" max="11" width="27.7109375" customWidth="1"/>
    <col min="12" max="12" width="17.5703125" customWidth="1"/>
    <col min="13" max="13" width="30.5703125" customWidth="1"/>
    <col min="14" max="14" width="20.28515625" customWidth="1"/>
    <col min="15" max="15" width="13.85546875" customWidth="1"/>
  </cols>
  <sheetData>
    <row r="1" spans="1:15" ht="21">
      <c r="A1" s="2" t="s">
        <v>0</v>
      </c>
    </row>
    <row r="2" spans="1:15">
      <c r="A2" s="3" t="s">
        <v>1</v>
      </c>
    </row>
    <row r="3" spans="1:15" ht="15" thickBot="1">
      <c r="A3" s="4" t="s">
        <v>2</v>
      </c>
    </row>
    <row r="4" spans="1:15" ht="22.15" customHeight="1">
      <c r="A4" s="78" t="s">
        <v>3</v>
      </c>
      <c r="B4" s="78"/>
      <c r="C4" s="80" t="s">
        <v>4</v>
      </c>
      <c r="D4" s="80"/>
      <c r="E4" s="82" t="s">
        <v>5</v>
      </c>
      <c r="F4" s="83"/>
      <c r="G4" s="85" t="s">
        <v>6</v>
      </c>
      <c r="H4" s="86"/>
    </row>
    <row r="5" spans="1:15" ht="34.15" customHeight="1" thickBot="1">
      <c r="A5" s="79">
        <f>G27</f>
        <v>22875581.379999999</v>
      </c>
      <c r="B5" s="79"/>
      <c r="C5" s="81">
        <f>COUNTA(I9:I26)</f>
        <v>18</v>
      </c>
      <c r="D5" s="81"/>
      <c r="E5" s="84">
        <f>SUMIF(F9:F26,"Analista",G9:G26)</f>
        <v>6994373.2300000004</v>
      </c>
      <c r="F5" s="84"/>
      <c r="G5" s="87">
        <f>SUMIF(F9:F26,"Verificado",G9:G26)</f>
        <v>15881208.15</v>
      </c>
      <c r="H5" s="88"/>
    </row>
    <row r="8" spans="1:15" ht="17.45">
      <c r="A8" s="24" t="s">
        <v>7</v>
      </c>
      <c r="B8" s="16" t="s">
        <v>8</v>
      </c>
      <c r="C8" s="16" t="s">
        <v>9</v>
      </c>
      <c r="D8" s="16" t="s">
        <v>10</v>
      </c>
      <c r="E8" s="16" t="s">
        <v>11</v>
      </c>
      <c r="F8" s="17" t="s">
        <v>12</v>
      </c>
      <c r="G8" s="23" t="s">
        <v>13</v>
      </c>
      <c r="H8" s="16" t="s">
        <v>14</v>
      </c>
      <c r="I8" s="45" t="s">
        <v>15</v>
      </c>
      <c r="K8" s="6" t="s">
        <v>16</v>
      </c>
    </row>
    <row r="9" spans="1:15">
      <c r="A9" s="18" t="str">
        <f>'reporte tsdocs del 1-6 al 7-6'!P2</f>
        <v>Cristian Amaya</v>
      </c>
      <c r="B9" s="13" t="str">
        <f>'reporte tsdocs del 1-6 al 7-6'!D2</f>
        <v>IKES JUAN CARLOS</v>
      </c>
      <c r="C9" s="13" t="s">
        <v>17</v>
      </c>
      <c r="D9" s="13" t="s">
        <v>18</v>
      </c>
      <c r="E9" s="13" t="s">
        <v>19</v>
      </c>
      <c r="F9" s="14" t="s">
        <v>20</v>
      </c>
      <c r="G9" s="20">
        <f>'reporte tsdocs del 1-6 al 7-6'!L2</f>
        <v>2764850</v>
      </c>
      <c r="H9" s="13" t="s">
        <v>21</v>
      </c>
      <c r="I9" s="46">
        <v>10771</v>
      </c>
    </row>
    <row r="10" spans="1:15">
      <c r="A10" s="18" t="str">
        <f>'reporte tsdocs del 1-6 al 7-6'!P31</f>
        <v>Cristian Amaya</v>
      </c>
      <c r="B10" s="13" t="str">
        <f>'reporte tsdocs del 1-6 al 7-6'!D31</f>
        <v>EMPRESA EL CEIBO SRL</v>
      </c>
      <c r="C10" s="13" t="s">
        <v>22</v>
      </c>
      <c r="D10" s="13" t="s">
        <v>23</v>
      </c>
      <c r="E10" s="13" t="s">
        <v>24</v>
      </c>
      <c r="F10" s="14" t="s">
        <v>25</v>
      </c>
      <c r="G10" s="20">
        <f>'reporte tsdocs del 1-6 al 7-6'!L31</f>
        <v>140000</v>
      </c>
      <c r="H10" s="13" t="s">
        <v>26</v>
      </c>
      <c r="I10" s="46">
        <v>10799</v>
      </c>
      <c r="K10" s="24" t="s">
        <v>7</v>
      </c>
      <c r="L10" s="16" t="s">
        <v>27</v>
      </c>
      <c r="M10" s="16" t="s">
        <v>10</v>
      </c>
      <c r="N10" s="23" t="s">
        <v>13</v>
      </c>
      <c r="O10" s="19" t="s">
        <v>28</v>
      </c>
    </row>
    <row r="11" spans="1:15">
      <c r="A11" s="18" t="str">
        <f>'reporte tsdocs del 1-6 al 7-6'!P46</f>
        <v>Cristian Amaya</v>
      </c>
      <c r="B11" s="13" t="str">
        <f>'reporte tsdocs del 1-6 al 7-6'!D46</f>
        <v>AGUADAS ALOMAR SRL</v>
      </c>
      <c r="C11" s="13" t="s">
        <v>22</v>
      </c>
      <c r="D11" s="13" t="s">
        <v>23</v>
      </c>
      <c r="E11" s="13" t="s">
        <v>29</v>
      </c>
      <c r="F11" s="14" t="s">
        <v>25</v>
      </c>
      <c r="G11" s="20">
        <f>'reporte tsdocs del 1-6 al 7-6'!L46</f>
        <v>229200</v>
      </c>
      <c r="H11" s="13" t="s">
        <v>30</v>
      </c>
      <c r="I11" s="46">
        <v>10808</v>
      </c>
      <c r="K11" s="25" t="s">
        <v>31</v>
      </c>
      <c r="L11" s="13" t="s">
        <v>17</v>
      </c>
      <c r="M11" s="13" t="s">
        <v>18</v>
      </c>
      <c r="N11" s="20">
        <f>SUMIFS($G$9:$G$26,$A$9:$A$26,$K11,$C$9:$C$26,L11,$D$9:$D$26,M11)</f>
        <v>2764850</v>
      </c>
      <c r="O11" s="27">
        <f>N11/$G$27</f>
        <v>0.12086468772405906</v>
      </c>
    </row>
    <row r="12" spans="1:15">
      <c r="A12" s="18" t="str">
        <f>'reporte tsdocs del 1-6 al 7-6'!P49</f>
        <v>Cristian Amaya</v>
      </c>
      <c r="B12" s="13" t="str">
        <f>'reporte tsdocs del 1-6 al 7-6'!D49</f>
        <v>GABINO RAUL PASCUAL</v>
      </c>
      <c r="C12" s="13" t="s">
        <v>22</v>
      </c>
      <c r="D12" s="13" t="s">
        <v>23</v>
      </c>
      <c r="E12" s="13" t="s">
        <v>32</v>
      </c>
      <c r="F12" s="14" t="s">
        <v>20</v>
      </c>
      <c r="G12" s="20">
        <f>'reporte tsdocs del 1-6 al 7-6'!L49</f>
        <v>10229358.15</v>
      </c>
      <c r="H12" s="13" t="s">
        <v>33</v>
      </c>
      <c r="I12" s="46">
        <v>10811</v>
      </c>
      <c r="K12" s="18"/>
      <c r="L12" s="13" t="s">
        <v>22</v>
      </c>
      <c r="M12" s="13" t="s">
        <v>23</v>
      </c>
      <c r="N12" s="20">
        <f>SUMIFS($G$9:$G$26,$A$9:$A$26,$K11,$C$9:$C$26,L12,$D$9:$D$26,M12)</f>
        <v>10598558.15</v>
      </c>
      <c r="O12" s="27">
        <f>N12/$G$27</f>
        <v>0.46331317110332609</v>
      </c>
    </row>
    <row r="13" spans="1:15">
      <c r="A13" s="18" t="str">
        <f>'reporte tsdocs del 1-6 al 7-6'!P6</f>
        <v>Daniel Barruti</v>
      </c>
      <c r="B13" s="13" t="str">
        <f>'reporte tsdocs del 1-6 al 7-6'!D6</f>
        <v>GARCIA NICOLAS DANIEL</v>
      </c>
      <c r="C13" s="13" t="s">
        <v>17</v>
      </c>
      <c r="D13" s="13" t="s">
        <v>34</v>
      </c>
      <c r="E13" s="13" t="s">
        <v>34</v>
      </c>
      <c r="F13" s="14" t="s">
        <v>20</v>
      </c>
      <c r="G13" s="20">
        <f>'reporte tsdocs del 1-6 al 7-6'!L6</f>
        <v>2887000</v>
      </c>
      <c r="H13" s="13" t="s">
        <v>35</v>
      </c>
      <c r="I13" s="46">
        <v>10788</v>
      </c>
    </row>
    <row r="14" spans="1:15">
      <c r="A14" s="18" t="str">
        <f>'reporte tsdocs del 1-6 al 7-6'!P10</f>
        <v>Daniel Barruti</v>
      </c>
      <c r="B14" s="13" t="str">
        <f>'reporte tsdocs del 1-6 al 7-6'!D10</f>
        <v>GARCIA NICOLAS DANIEL</v>
      </c>
      <c r="C14" s="13" t="s">
        <v>17</v>
      </c>
      <c r="D14" s="13" t="s">
        <v>34</v>
      </c>
      <c r="E14" s="13" t="s">
        <v>34</v>
      </c>
      <c r="F14" s="14" t="s">
        <v>25</v>
      </c>
      <c r="G14" s="20">
        <f>'reporte tsdocs del 1-6 al 7-6'!L10</f>
        <v>2887000</v>
      </c>
      <c r="H14" s="13" t="s">
        <v>35</v>
      </c>
      <c r="I14" s="46">
        <v>10789</v>
      </c>
      <c r="K14" s="26" t="s">
        <v>36</v>
      </c>
      <c r="L14" s="13"/>
      <c r="M14" s="13"/>
      <c r="N14" s="21">
        <f>SUMIFS($G$9:$G$26,$A$9:$A$26,$K11)</f>
        <v>13363408.15</v>
      </c>
      <c r="O14" s="28">
        <f>N14/$G$27</f>
        <v>0.58417785882738515</v>
      </c>
    </row>
    <row r="15" spans="1:15">
      <c r="A15" s="18" t="str">
        <f>'reporte tsdocs del 1-6 al 7-6'!P13</f>
        <v>Daniel Barruti</v>
      </c>
      <c r="B15" s="13" t="str">
        <f>'reporte tsdocs del 1-6 al 7-6'!D13</f>
        <v>HIDRAULICA CVC S.A.S.</v>
      </c>
      <c r="C15" s="13" t="s">
        <v>37</v>
      </c>
      <c r="D15" s="13" t="s">
        <v>38</v>
      </c>
      <c r="E15" s="13" t="s">
        <v>39</v>
      </c>
      <c r="F15" s="14" t="s">
        <v>25</v>
      </c>
      <c r="G15" s="20">
        <f>'reporte tsdocs del 1-6 al 7-6'!L13</f>
        <v>360607.24</v>
      </c>
      <c r="H15" s="13" t="s">
        <v>40</v>
      </c>
      <c r="I15" s="46">
        <v>10790</v>
      </c>
      <c r="K15" s="25" t="s">
        <v>41</v>
      </c>
      <c r="L15" s="13" t="s">
        <v>17</v>
      </c>
      <c r="M15" s="13" t="s">
        <v>34</v>
      </c>
      <c r="N15" s="20">
        <f>SUMIFS($G$9:$G$26,$A$9:$A$26,$K15,$C$9:$C$26,L15,$D$9:$D$26,"Agricultura*")</f>
        <v>6484927.4900000002</v>
      </c>
      <c r="O15" s="27">
        <f>N15/$G$27</f>
        <v>0.28348689295694746</v>
      </c>
    </row>
    <row r="16" spans="1:15">
      <c r="A16" s="18" t="str">
        <f>'reporte tsdocs del 1-6 al 7-6'!P16</f>
        <v>Daniel Barruti</v>
      </c>
      <c r="B16" s="13" t="str">
        <f>'reporte tsdocs del 1-6 al 7-6'!D16</f>
        <v>HIDRAULICA CVC S.A.S.</v>
      </c>
      <c r="C16" s="13" t="s">
        <v>17</v>
      </c>
      <c r="D16" s="13" t="s">
        <v>34</v>
      </c>
      <c r="E16" s="13" t="s">
        <v>42</v>
      </c>
      <c r="F16" s="14" t="s">
        <v>25</v>
      </c>
      <c r="G16" s="20">
        <f>'reporte tsdocs del 1-6 al 7-6'!L16</f>
        <v>200700.25</v>
      </c>
      <c r="H16" s="13" t="s">
        <v>30</v>
      </c>
      <c r="I16" s="46">
        <v>10791</v>
      </c>
      <c r="K16" s="18"/>
      <c r="L16" s="13" t="s">
        <v>17</v>
      </c>
      <c r="M16" s="13" t="s">
        <v>43</v>
      </c>
      <c r="N16" s="20">
        <f>SUMIFS($G$9:$G$26,$A$9:$A$26,$K15,$C$9:$C$26,L16,$D$9:$D$26,M16)</f>
        <v>194634.31</v>
      </c>
      <c r="O16" s="27">
        <f>N16/$G$27</f>
        <v>8.5083874707625028E-3</v>
      </c>
    </row>
    <row r="17" spans="1:15">
      <c r="A17" s="18" t="str">
        <f>'reporte tsdocs del 1-6 al 7-6'!P22</f>
        <v>Daniel Barruti</v>
      </c>
      <c r="B17" s="13" t="str">
        <f>'reporte tsdocs del 1-6 al 7-6'!D22</f>
        <v>TRANSPORTE EL PAMPERO SRL</v>
      </c>
      <c r="C17" s="13" t="s">
        <v>17</v>
      </c>
      <c r="D17" s="13" t="s">
        <v>34</v>
      </c>
      <c r="E17" s="13" t="s">
        <v>42</v>
      </c>
      <c r="F17" s="14" t="s">
        <v>25</v>
      </c>
      <c r="G17" s="20">
        <f>'reporte tsdocs del 1-6 al 7-6'!L22</f>
        <v>37873</v>
      </c>
      <c r="H17" s="13" t="s">
        <v>30</v>
      </c>
      <c r="I17" s="46">
        <v>10793</v>
      </c>
      <c r="K17" s="18"/>
      <c r="L17" s="13" t="s">
        <v>37</v>
      </c>
      <c r="M17" s="13" t="s">
        <v>38</v>
      </c>
      <c r="N17" s="20">
        <f>SUMIFS($G$9:$G$26,$A$9:$A$26,$K15,$C$9:$C$26,L17,$D$9:$D$26,M17)</f>
        <v>1182611.43</v>
      </c>
      <c r="O17" s="27">
        <f>N17/$G$27</f>
        <v>5.1697546407889372E-2</v>
      </c>
    </row>
    <row r="18" spans="1:15">
      <c r="A18" s="18" t="str">
        <f>'reporte tsdocs del 1-6 al 7-6'!P28</f>
        <v>Daniel Barruti</v>
      </c>
      <c r="B18" s="13" t="str">
        <f>'reporte tsdocs del 1-6 al 7-6'!D28</f>
        <v>COOP REGIONAL DE PROV DE SERVICIOS PUB Y SOCIALES DEL OESTE PAMPEANO LTDA</v>
      </c>
      <c r="C18" s="13" t="s">
        <v>17</v>
      </c>
      <c r="D18" s="13" t="s">
        <v>43</v>
      </c>
      <c r="E18" s="13" t="s">
        <v>44</v>
      </c>
      <c r="F18" s="14" t="s">
        <v>25</v>
      </c>
      <c r="G18" s="20">
        <f>'reporte tsdocs del 1-6 al 7-6'!L28</f>
        <v>60929.31</v>
      </c>
      <c r="H18" s="13" t="s">
        <v>45</v>
      </c>
      <c r="I18" s="46">
        <v>10795</v>
      </c>
      <c r="K18" s="26" t="s">
        <v>46</v>
      </c>
      <c r="L18" s="13"/>
      <c r="M18" s="13"/>
      <c r="N18" s="21">
        <f>SUMIFS($G$9:$G$26,$A$9:$A$26,$K15)</f>
        <v>7862173.2300000004</v>
      </c>
      <c r="O18" s="28">
        <f>N18/$G$27</f>
        <v>0.34369282683559937</v>
      </c>
    </row>
    <row r="19" spans="1:15">
      <c r="A19" s="18" t="str">
        <f>'reporte tsdocs del 1-6 al 7-6'!P19</f>
        <v>Daniel Barruti</v>
      </c>
      <c r="B19" s="13" t="str">
        <f>'reporte tsdocs del 1-6 al 7-6'!D19</f>
        <v>TRANSPORTE EL PAMPERO SRL</v>
      </c>
      <c r="C19" s="13" t="s">
        <v>37</v>
      </c>
      <c r="D19" s="13" t="s">
        <v>38</v>
      </c>
      <c r="E19" s="13" t="s">
        <v>39</v>
      </c>
      <c r="F19" s="14" t="s">
        <v>25</v>
      </c>
      <c r="G19" s="20">
        <f>'reporte tsdocs del 1-6 al 7-6'!L19</f>
        <v>38962</v>
      </c>
      <c r="H19" s="13" t="s">
        <v>40</v>
      </c>
      <c r="I19" s="46">
        <v>10792</v>
      </c>
      <c r="K19" s="67" t="s">
        <v>47</v>
      </c>
      <c r="L19" s="15" t="s">
        <v>37</v>
      </c>
      <c r="M19" s="15" t="s">
        <v>38</v>
      </c>
      <c r="N19" s="22">
        <f>SUMIFS($G$9:$G$26,$A$9:$A$26,$K19,$C$9:$C$26,L19,$D$9:$D$26,M19)</f>
        <v>1650000</v>
      </c>
      <c r="O19" s="29">
        <f>N19/$G$27</f>
        <v>7.2129314337015554E-2</v>
      </c>
    </row>
    <row r="20" spans="1:15">
      <c r="A20" s="18" t="str">
        <f>'reporte tsdocs del 1-6 al 7-6'!P25</f>
        <v>Daniel Barruti</v>
      </c>
      <c r="B20" s="13" t="str">
        <f>'reporte tsdocs del 1-6 al 7-6'!D25</f>
        <v>TRANSPORTE EL PAMPERO SRL</v>
      </c>
      <c r="C20" s="13" t="s">
        <v>17</v>
      </c>
      <c r="D20" s="13" t="s">
        <v>34</v>
      </c>
      <c r="E20" s="13" t="s">
        <v>42</v>
      </c>
      <c r="F20" s="14" t="s">
        <v>25</v>
      </c>
      <c r="G20" s="20">
        <f>'reporte tsdocs del 1-6 al 7-6'!L25</f>
        <v>57838.67</v>
      </c>
      <c r="H20" s="13" t="s">
        <v>30</v>
      </c>
      <c r="I20" s="46">
        <v>10794</v>
      </c>
      <c r="K20" s="7" t="s">
        <v>48</v>
      </c>
      <c r="N20" s="8">
        <f>SUMIFS($G$9:$G$26,$A$9:$A$26,$K19)</f>
        <v>1650000</v>
      </c>
      <c r="O20" s="59">
        <f>N20/$G$27</f>
        <v>7.2129314337015554E-2</v>
      </c>
    </row>
    <row r="21" spans="1:15" ht="17.45">
      <c r="A21" s="18" t="str">
        <f>'reporte tsdocs del 1-6 al 7-6'!P34</f>
        <v>Daniel Barruti</v>
      </c>
      <c r="B21" s="13" t="str">
        <f>'reporte tsdocs del 1-6 al 7-6'!D34</f>
        <v>BERGONDI MIGUEL ANGEL</v>
      </c>
      <c r="C21" s="13" t="s">
        <v>17</v>
      </c>
      <c r="D21" s="13" t="s">
        <v>43</v>
      </c>
      <c r="E21" s="13" t="s">
        <v>49</v>
      </c>
      <c r="F21" s="14" t="s">
        <v>25</v>
      </c>
      <c r="G21" s="20">
        <f>'reporte tsdocs del 1-6 al 7-6'!L34</f>
        <v>133705</v>
      </c>
      <c r="H21" s="13" t="s">
        <v>26</v>
      </c>
      <c r="I21" s="46">
        <v>10800</v>
      </c>
      <c r="K21" s="62" t="s">
        <v>50</v>
      </c>
      <c r="N21" s="9">
        <f>SUM(N11:N12)+SUM(N15:N17)+N19</f>
        <v>22875581.379999999</v>
      </c>
      <c r="O21" s="10">
        <f>N21/$G$27</f>
        <v>1</v>
      </c>
    </row>
    <row r="22" spans="1:15">
      <c r="A22" s="18" t="str">
        <f>'reporte tsdocs del 1-6 al 7-6'!P43</f>
        <v>Daniel Barruti</v>
      </c>
      <c r="B22" s="13" t="str">
        <f>'reporte tsdocs del 1-6 al 7-6'!D43</f>
        <v>AC ELECTRICIDAD SAS</v>
      </c>
      <c r="C22" s="13" t="s">
        <v>17</v>
      </c>
      <c r="D22" s="13" t="s">
        <v>34</v>
      </c>
      <c r="E22" s="13" t="s">
        <v>51</v>
      </c>
      <c r="F22" s="14" t="s">
        <v>25</v>
      </c>
      <c r="G22" s="20">
        <f>'reporte tsdocs del 1-6 al 7-6'!L43</f>
        <v>414515.57</v>
      </c>
      <c r="H22" s="13" t="s">
        <v>30</v>
      </c>
      <c r="I22" s="46">
        <v>10806</v>
      </c>
    </row>
    <row r="23" spans="1:15">
      <c r="A23" s="18" t="str">
        <f>'reporte tsdocs del 1-6 al 7-6'!P37</f>
        <v>Daniel Barruti</v>
      </c>
      <c r="B23" s="13" t="str">
        <f>'reporte tsdocs del 1-6 al 7-6'!D37</f>
        <v>TRANSPORTE EL PAMPERO SRL</v>
      </c>
      <c r="C23" s="13" t="s">
        <v>37</v>
      </c>
      <c r="D23" s="13" t="s">
        <v>38</v>
      </c>
      <c r="E23" s="13" t="s">
        <v>39</v>
      </c>
      <c r="F23" s="14" t="s">
        <v>25</v>
      </c>
      <c r="G23" s="20">
        <f>'reporte tsdocs del 1-6 al 7-6'!L37</f>
        <v>104080.19</v>
      </c>
      <c r="H23" s="13" t="s">
        <v>40</v>
      </c>
      <c r="I23" s="46">
        <v>10801</v>
      </c>
    </row>
    <row r="24" spans="1:15">
      <c r="A24" s="18" t="str">
        <f>'reporte tsdocs del 1-6 al 7-6'!P53</f>
        <v>Daniel Barruti</v>
      </c>
      <c r="B24" s="13" t="str">
        <f>'reporte tsdocs del 1-6 al 7-6'!D53</f>
        <v>TRANSPORTE EL PAMPERO SRL</v>
      </c>
      <c r="C24" s="13" t="s">
        <v>37</v>
      </c>
      <c r="D24" s="13" t="s">
        <v>38</v>
      </c>
      <c r="E24" s="13" t="s">
        <v>39</v>
      </c>
      <c r="F24" s="14" t="s">
        <v>25</v>
      </c>
      <c r="G24" s="20">
        <f>'reporte tsdocs del 1-6 al 7-6'!L53</f>
        <v>38962</v>
      </c>
      <c r="H24" s="13" t="s">
        <v>40</v>
      </c>
      <c r="I24" s="46">
        <v>10817</v>
      </c>
    </row>
    <row r="25" spans="1:15">
      <c r="A25" s="18" t="str">
        <f>'reporte tsdocs del 1-6 al 7-6'!P56</f>
        <v>Daniel Barruti</v>
      </c>
      <c r="B25" s="13" t="str">
        <f>'reporte tsdocs del 1-6 al 7-6'!D56</f>
        <v>GARRO MONICA ALEJANDRA</v>
      </c>
      <c r="C25" s="13" t="s">
        <v>37</v>
      </c>
      <c r="D25" s="13" t="s">
        <v>38</v>
      </c>
      <c r="E25" s="13" t="s">
        <v>52</v>
      </c>
      <c r="F25" s="14" t="s">
        <v>25</v>
      </c>
      <c r="G25" s="20">
        <f>'reporte tsdocs del 1-6 al 7-6'!L56</f>
        <v>640000</v>
      </c>
      <c r="H25" s="13" t="s">
        <v>40</v>
      </c>
      <c r="I25" s="46">
        <v>10838</v>
      </c>
    </row>
    <row r="26" spans="1:15">
      <c r="A26" s="18" t="str">
        <f>'reporte tsdocs del 1-6 al 7-6'!P40</f>
        <v>Sandra Bartucci</v>
      </c>
      <c r="B26" s="13" t="str">
        <f>'reporte tsdocs del 1-6 al 7-6'!D40</f>
        <v>GONZALEZ IGNACIO GENARO</v>
      </c>
      <c r="C26" s="13" t="s">
        <v>37</v>
      </c>
      <c r="D26" s="13" t="s">
        <v>38</v>
      </c>
      <c r="E26" s="13" t="s">
        <v>53</v>
      </c>
      <c r="F26" s="14" t="s">
        <v>25</v>
      </c>
      <c r="G26" s="20">
        <f>'reporte tsdocs del 1-6 al 7-6'!L40</f>
        <v>1650000</v>
      </c>
      <c r="H26" s="13" t="s">
        <v>54</v>
      </c>
      <c r="I26" s="46">
        <v>10804</v>
      </c>
    </row>
    <row r="27" spans="1:15">
      <c r="A27" s="18"/>
      <c r="B27" s="13"/>
      <c r="C27" s="13"/>
      <c r="D27" s="13"/>
      <c r="E27" s="54" t="s">
        <v>50</v>
      </c>
      <c r="F27" s="66"/>
      <c r="G27" s="61">
        <f>SUM(G9:G26)</f>
        <v>22875581.379999999</v>
      </c>
      <c r="H27" s="13"/>
      <c r="I27" s="56"/>
    </row>
    <row r="28" spans="1:15">
      <c r="A28" s="60"/>
      <c r="B28" s="63"/>
      <c r="C28" s="63"/>
      <c r="D28" s="63"/>
      <c r="E28" s="57"/>
      <c r="F28" s="58"/>
      <c r="G28" s="65"/>
      <c r="H28" s="63"/>
      <c r="I28" s="55"/>
      <c r="K28" s="34" t="s">
        <v>27</v>
      </c>
      <c r="L28" s="32"/>
      <c r="M28" s="32"/>
      <c r="N28" s="33" t="s">
        <v>13</v>
      </c>
      <c r="O28" s="37" t="s">
        <v>28</v>
      </c>
    </row>
    <row r="29" spans="1:15">
      <c r="K29" s="35" t="s">
        <v>17</v>
      </c>
      <c r="L29" s="11"/>
      <c r="M29" s="11"/>
      <c r="N29" s="12">
        <f>SUMIFS($G$9:$G$26,$C$9:$C$26,K29)</f>
        <v>9444411.8000000007</v>
      </c>
      <c r="O29" s="38">
        <f>N29/$G$27</f>
        <v>0.41285996815176906</v>
      </c>
    </row>
    <row r="30" spans="1:15">
      <c r="K30" s="35" t="s">
        <v>22</v>
      </c>
      <c r="L30" s="11"/>
      <c r="M30" s="11"/>
      <c r="N30" s="12">
        <f>SUMIFS($G$9:$G$26,$C$9:$C$26,K30)</f>
        <v>10598558.15</v>
      </c>
      <c r="O30" s="38">
        <f>N30/$G$27</f>
        <v>0.46331317110332609</v>
      </c>
    </row>
    <row r="31" spans="1:15" ht="17.45">
      <c r="A31" s="6" t="s">
        <v>55</v>
      </c>
      <c r="K31" s="35" t="s">
        <v>37</v>
      </c>
      <c r="L31" s="11"/>
      <c r="M31" s="11"/>
      <c r="N31" s="12">
        <f>SUMIFS($G$9:$G$26,$C$9:$C$26,K31)</f>
        <v>2832611.4299999997</v>
      </c>
      <c r="O31" s="38">
        <f>N31/$G$27</f>
        <v>0.12382686074490491</v>
      </c>
    </row>
    <row r="32" spans="1:15">
      <c r="A32" s="3" t="s">
        <v>56</v>
      </c>
      <c r="K32" s="36" t="s">
        <v>57</v>
      </c>
      <c r="L32" s="30"/>
      <c r="M32" s="30"/>
      <c r="N32" s="31">
        <f>SUM(N29:N31)</f>
        <v>22875581.380000003</v>
      </c>
      <c r="O32" s="39">
        <f>N32/$G$27</f>
        <v>1.0000000000000002</v>
      </c>
    </row>
    <row r="34" spans="1:15" ht="360" customHeight="1">
      <c r="A34" s="75" t="s">
        <v>58</v>
      </c>
      <c r="B34" s="76"/>
      <c r="C34" s="76"/>
      <c r="D34" s="76"/>
      <c r="E34" s="76"/>
      <c r="F34" s="76"/>
      <c r="G34" s="76"/>
      <c r="H34" s="76"/>
      <c r="I34" s="77"/>
      <c r="K34" s="6" t="s">
        <v>59</v>
      </c>
    </row>
    <row r="36" spans="1:15">
      <c r="K36" s="34" t="s">
        <v>14</v>
      </c>
      <c r="L36" s="32"/>
      <c r="M36" s="32"/>
      <c r="N36" s="33" t="s">
        <v>13</v>
      </c>
      <c r="O36" s="37" t="s">
        <v>28</v>
      </c>
    </row>
    <row r="37" spans="1:15">
      <c r="K37" s="35" t="s">
        <v>30</v>
      </c>
      <c r="L37" s="11"/>
      <c r="M37" s="11"/>
      <c r="N37" s="12">
        <f>SUMIFS($G$9:$G$26,$H$9:$H$26,K37)</f>
        <v>940127.49</v>
      </c>
      <c r="O37" s="38">
        <f>N37/$G$27</f>
        <v>4.1097424995805723E-2</v>
      </c>
    </row>
    <row r="38" spans="1:15">
      <c r="K38" s="35" t="s">
        <v>45</v>
      </c>
      <c r="L38" s="11"/>
      <c r="M38" s="11"/>
      <c r="N38" s="12">
        <f>SUMIFS($G$9:$G$26,$H$9:$H$26,K38)</f>
        <v>60929.31</v>
      </c>
      <c r="O38" s="38">
        <f>N38/$G$27</f>
        <v>2.6635086989863425E-3</v>
      </c>
    </row>
    <row r="39" spans="1:15">
      <c r="K39" s="35" t="s">
        <v>26</v>
      </c>
      <c r="L39" s="11"/>
      <c r="M39" s="11"/>
      <c r="N39" s="12">
        <f>SUMIFS($G$9:$G$26,$H$9:$H$26,K39)</f>
        <v>273705</v>
      </c>
      <c r="O39" s="38">
        <f>N39/$G$27</f>
        <v>1.1964941806432025E-2</v>
      </c>
    </row>
    <row r="40" spans="1:15">
      <c r="K40" s="35" t="s">
        <v>21</v>
      </c>
      <c r="L40" s="11"/>
      <c r="M40" s="11"/>
      <c r="N40" s="12">
        <f>SUMIFS($G$9:$G$26,$H$9:$H$26,K40)</f>
        <v>2764850</v>
      </c>
      <c r="O40" s="38">
        <f>N40/$G$27</f>
        <v>0.12086468772405906</v>
      </c>
    </row>
    <row r="41" spans="1:15">
      <c r="K41" s="35" t="s">
        <v>40</v>
      </c>
      <c r="L41" s="11"/>
      <c r="M41" s="11"/>
      <c r="N41" s="12">
        <f>SUMIFS($G$9:$G$26,$H$9:$H$26,K41)</f>
        <v>1182611.43</v>
      </c>
      <c r="O41" s="38">
        <f>N41/$G$27</f>
        <v>5.1697546407889372E-2</v>
      </c>
    </row>
    <row r="42" spans="1:15">
      <c r="K42" s="35" t="s">
        <v>33</v>
      </c>
      <c r="L42" s="11"/>
      <c r="M42" s="11"/>
      <c r="N42" s="12">
        <f>SUMIFS($G$9:$G$26,$H$9:$H$26,K42)</f>
        <v>10229358.15</v>
      </c>
      <c r="O42" s="38">
        <f>N42/$G$27</f>
        <v>0.44717369058621936</v>
      </c>
    </row>
    <row r="43" spans="1:15">
      <c r="K43" s="47" t="s">
        <v>35</v>
      </c>
      <c r="N43" s="48">
        <f>SUMIFS($G$9:$G$26,$H$9:$H$26,K43)</f>
        <v>5774000</v>
      </c>
      <c r="O43" s="49">
        <f>N43/$G$27</f>
        <v>0.25240888544359263</v>
      </c>
    </row>
    <row r="44" spans="1:15">
      <c r="K44" s="47" t="s">
        <v>54</v>
      </c>
      <c r="N44" s="48">
        <f>SUMIFS($G$9:$G$26,$H$9:$H$26,K44)</f>
        <v>1650000</v>
      </c>
      <c r="O44" s="49">
        <f>N44/$G$27</f>
        <v>7.2129314337015554E-2</v>
      </c>
    </row>
    <row r="45" spans="1:15">
      <c r="K45" s="36" t="s">
        <v>57</v>
      </c>
      <c r="L45" s="30"/>
      <c r="M45" s="30"/>
      <c r="N45" s="31">
        <f>SUM(N37:N44)</f>
        <v>22875581.379999999</v>
      </c>
      <c r="O45" s="39">
        <f>N45/$G$27</f>
        <v>1</v>
      </c>
    </row>
  </sheetData>
  <mergeCells count="9">
    <mergeCell ref="A34:I34"/>
    <mergeCell ref="A4:B4"/>
    <mergeCell ref="A5:B5"/>
    <mergeCell ref="C4:D4"/>
    <mergeCell ref="C5:D5"/>
    <mergeCell ref="E4:F4"/>
    <mergeCell ref="E5:F5"/>
    <mergeCell ref="G4:H4"/>
    <mergeCell ref="G5:H5"/>
  </mergeCells>
  <conditionalFormatting sqref="F9:F26">
    <cfRule type="cellIs" dxfId="3" priority="15" operator="equal">
      <formula>"Verificado"</formula>
    </cfRule>
  </conditionalFormatting>
  <conditionalFormatting sqref="F9:F26">
    <cfRule type="cellIs" dxfId="2" priority="16" operator="equal">
      <formula>"Analista"</formula>
    </cfRule>
  </conditionalFormatting>
  <conditionalFormatting sqref="F9:F26">
    <cfRule type="cellIs" dxfId="1" priority="17" operator="equal">
      <formula>"Pivot"</formula>
    </cfRule>
  </conditionalFormatting>
  <conditionalFormatting sqref="F9:F26">
    <cfRule type="cellIs" dxfId="0" priority="18" operator="equal">
      <formula>"Gerente"</formula>
    </cfRule>
  </conditionalFormatting>
  <conditionalFormatting sqref="G9:G26">
    <cfRule type="dataBar" priority="19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{5A34268C-F5AD-4D96-9913-0D0A3D7F8883}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34268C-F5AD-4D96-9913-0D0A3D7F888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G9:G26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86EF-DAC7-448B-BB8A-D00AE0626DE1}">
  <sheetPr>
    <tabColor rgb="FF2E7D32"/>
  </sheetPr>
  <dimension ref="A1:M53"/>
  <sheetViews>
    <sheetView workbookViewId="0">
      <selection activeCell="D18" sqref="D18"/>
    </sheetView>
  </sheetViews>
  <sheetFormatPr defaultColWidth="11.42578125" defaultRowHeight="14.45" outlineLevelRow="1"/>
  <cols>
    <col min="1" max="8" width="17.5703125" customWidth="1"/>
  </cols>
  <sheetData>
    <row r="1" spans="1:8" ht="23.45">
      <c r="A1" s="40" t="s">
        <v>60</v>
      </c>
    </row>
    <row r="2" spans="1:8">
      <c r="A2" s="3" t="s">
        <v>61</v>
      </c>
    </row>
    <row r="3" spans="1:8" ht="15" thickBot="1">
      <c r="A3" s="68" t="str">
        <f>"Esta semana: "&amp;TEXT('Reporte Dirección'!G27,"$#.##0")&amp;" en "&amp;COUNTA('Reporte Dirección'!A9:A26)&amp;" comprobantes.  "&amp;INDEX('Reporte Dirección'!K29:K31,MATCH(MAX('Reporte Dirección'!N29:N31),'Reporte Dirección'!N29:N31,0))&amp;" concentra "&amp;TEXT(MAX('Reporte Dirección'!N29:N31)/'Reporte Dirección'!G27,"0%")&amp;" del gasto.  Falta pasar a pago "&amp;TEXT(SUMIF('Reporte Dirección'!F9:F26,"Analista",'Reporte Dirección'!G9:G26),"$#.##0")&amp;"."</f>
        <v>Esta semana: $22.875.581 en 18 comprobantes.  Winifreda concentra 46% del gasto.  Falta pasar a pago $6.994.373.</v>
      </c>
    </row>
    <row r="4" spans="1:8" ht="24" customHeight="1" thickBot="1">
      <c r="A4" s="91" t="s">
        <v>62</v>
      </c>
      <c r="B4" s="91"/>
      <c r="C4" s="93" t="s">
        <v>4</v>
      </c>
      <c r="D4" s="93"/>
      <c r="E4" s="95" t="s">
        <v>63</v>
      </c>
      <c r="F4" s="95"/>
      <c r="G4" s="89" t="s">
        <v>64</v>
      </c>
      <c r="H4" s="89"/>
    </row>
    <row r="5" spans="1:8" ht="40.15" customHeight="1" thickBot="1">
      <c r="A5" s="92">
        <f>'Reporte Dirección'!G27</f>
        <v>22875581.379999999</v>
      </c>
      <c r="B5" s="92"/>
      <c r="C5" s="94">
        <f>COUNTA('Reporte Dirección'!A9:A26)</f>
        <v>18</v>
      </c>
      <c r="D5" s="94"/>
      <c r="E5" s="96">
        <f>SUMIF('Reporte Dirección'!F9:F26,"Analista",'Reporte Dirección'!G9:G26)</f>
        <v>6994373.2300000004</v>
      </c>
      <c r="F5" s="96"/>
      <c r="G5" s="90">
        <f>SUMIF('Reporte Dirección'!F9:F26,"Verificado",'Reporte Dirección'!G9:G26)</f>
        <v>15881208.15</v>
      </c>
      <c r="H5" s="90"/>
    </row>
    <row r="26" spans="1:13" ht="15.6">
      <c r="A26" s="69" t="s">
        <v>65</v>
      </c>
      <c r="J26" s="69" t="s">
        <v>66</v>
      </c>
    </row>
    <row r="27" spans="1:13">
      <c r="A27" s="70" t="s">
        <v>8</v>
      </c>
      <c r="B27" s="13"/>
      <c r="C27" s="13"/>
      <c r="D27" s="70" t="s">
        <v>67</v>
      </c>
      <c r="E27" s="13"/>
      <c r="F27" s="71" t="s">
        <v>68</v>
      </c>
      <c r="G27" s="71" t="s">
        <v>69</v>
      </c>
      <c r="J27" s="97" t="s">
        <v>70</v>
      </c>
      <c r="K27" s="97"/>
      <c r="L27" s="71" t="s">
        <v>71</v>
      </c>
      <c r="M27" s="71" t="s">
        <v>72</v>
      </c>
    </row>
    <row r="28" spans="1:13">
      <c r="A28" s="98" t="str">
        <f>INDEX('Reporte Dirección'!$B$9:$B$26,MATCH(LARGE('Reporte Dirección'!$G$9:$G$26,1),'Reporte Dirección'!$G$9:$G$26,0))</f>
        <v>GABINO RAUL PASCUAL</v>
      </c>
      <c r="B28" s="98"/>
      <c r="C28" s="98"/>
      <c r="D28" s="98" t="str">
        <f>INDEX('Reporte Dirección'!$H$9:$H$26,MATCH(LARGE('Reporte Dirección'!$G$9:$G$26,1),'Reporte Dirección'!$G$9:$G$26,0))</f>
        <v>Sanidad / Veterinaria</v>
      </c>
      <c r="E28" s="98"/>
      <c r="F28" s="72">
        <f>LARGE('Reporte Dirección'!$G$9:$G$26,1)</f>
        <v>10229358.15</v>
      </c>
      <c r="G28" s="73">
        <f>F28/'Reporte Dirección'!$G$27</f>
        <v>0.44717369058621936</v>
      </c>
      <c r="J28" s="98" t="s">
        <v>73</v>
      </c>
      <c r="K28" s="98"/>
      <c r="L28" s="72">
        <v>22875581.379999999</v>
      </c>
      <c r="M28" s="74">
        <v>18</v>
      </c>
    </row>
    <row r="29" spans="1:13">
      <c r="A29" s="98" t="str">
        <f>INDEX('Reporte Dirección'!$B$9:$B$26,MATCH(LARGE('Reporte Dirección'!$G$9:$G$26,2),'Reporte Dirección'!$G$9:$G$26,0))</f>
        <v>GARCIA NICOLAS DANIEL</v>
      </c>
      <c r="B29" s="98"/>
      <c r="C29" s="98"/>
      <c r="D29" s="98" t="str">
        <f>INDEX('Reporte Dirección'!$H$9:$H$26,MATCH(LARGE('Reporte Dirección'!$G$9:$G$26,2),'Reporte Dirección'!$G$9:$G$26,0))</f>
        <v>Honorarios Asesores Externos</v>
      </c>
      <c r="E29" s="98"/>
      <c r="F29" s="72">
        <f>LARGE('Reporte Dirección'!$G$9:$G$26,2)</f>
        <v>2887000</v>
      </c>
      <c r="G29" s="73">
        <f>F29/'Reporte Dirección'!$G$27</f>
        <v>0.12620444272179632</v>
      </c>
    </row>
    <row r="30" spans="1:13" outlineLevel="1">
      <c r="A30" s="98" t="str">
        <f>INDEX('Reporte Dirección'!$B$9:$B$26,MATCH(LARGE('Reporte Dirección'!$G$9:$G$26,3),'Reporte Dirección'!$G$9:$G$26,0))</f>
        <v>GARCIA NICOLAS DANIEL</v>
      </c>
      <c r="B30" s="98"/>
      <c r="C30" s="98"/>
      <c r="D30" s="98" t="str">
        <f>INDEX('Reporte Dirección'!$H$9:$H$26,MATCH(LARGE('Reporte Dirección'!$G$9:$G$26,3),'Reporte Dirección'!$G$9:$G$26,0))</f>
        <v>Honorarios Asesores Externos</v>
      </c>
      <c r="E30" s="98"/>
      <c r="F30" s="72">
        <f>LARGE('Reporte Dirección'!$G$9:$G$26,3)</f>
        <v>2887000</v>
      </c>
      <c r="G30" s="73">
        <f>F30/'Reporte Dirección'!$G$27</f>
        <v>0.12620444272179632</v>
      </c>
      <c r="J30" s="4" t="s">
        <v>74</v>
      </c>
    </row>
    <row r="31" spans="1:13" outlineLevel="1"/>
    <row r="32" spans="1:13" outlineLevel="1"/>
    <row r="33" spans="1:8" outlineLevel="1"/>
    <row r="34" spans="1:8" outlineLevel="1"/>
    <row r="35" spans="1:8" outlineLevel="1"/>
    <row r="36" spans="1:8" outlineLevel="1"/>
    <row r="44" spans="1:8" outlineLevel="1">
      <c r="A44" s="4" t="s">
        <v>75</v>
      </c>
    </row>
    <row r="45" spans="1:8" outlineLevel="1">
      <c r="A45" s="5" t="s">
        <v>76</v>
      </c>
      <c r="B45" t="s">
        <v>68</v>
      </c>
      <c r="D45" s="5" t="s">
        <v>77</v>
      </c>
      <c r="E45" t="s">
        <v>68</v>
      </c>
      <c r="G45" s="5" t="s">
        <v>78</v>
      </c>
      <c r="H45" t="s">
        <v>68</v>
      </c>
    </row>
    <row r="46" spans="1:8" outlineLevel="1">
      <c r="A46" t="s">
        <v>17</v>
      </c>
      <c r="B46" s="64">
        <f>'Reporte Dirección'!N29</f>
        <v>9444411.8000000007</v>
      </c>
      <c r="D46" t="s">
        <v>30</v>
      </c>
      <c r="E46" s="64">
        <f>'Reporte Dirección'!N37</f>
        <v>940127.49</v>
      </c>
      <c r="G46" t="s">
        <v>31</v>
      </c>
      <c r="H46" s="64">
        <f>'Reporte Dirección'!N14</f>
        <v>13363408.15</v>
      </c>
    </row>
    <row r="47" spans="1:8" outlineLevel="1">
      <c r="A47" t="s">
        <v>22</v>
      </c>
      <c r="B47" s="64">
        <f>'Reporte Dirección'!N30</f>
        <v>10598558.15</v>
      </c>
      <c r="D47" t="s">
        <v>45</v>
      </c>
      <c r="E47" s="64">
        <f>'Reporte Dirección'!N38</f>
        <v>60929.31</v>
      </c>
      <c r="G47" t="s">
        <v>41</v>
      </c>
      <c r="H47" s="64">
        <f>'Reporte Dirección'!N18</f>
        <v>7862173.2300000004</v>
      </c>
    </row>
    <row r="48" spans="1:8" outlineLevel="1">
      <c r="A48" t="s">
        <v>37</v>
      </c>
      <c r="B48" s="64">
        <f>'Reporte Dirección'!N31</f>
        <v>2832611.4299999997</v>
      </c>
      <c r="D48" t="s">
        <v>26</v>
      </c>
      <c r="E48" s="64">
        <f>'Reporte Dirección'!N39</f>
        <v>273705</v>
      </c>
      <c r="G48" t="s">
        <v>47</v>
      </c>
      <c r="H48" s="64">
        <f>'Reporte Dirección'!N20</f>
        <v>1650000</v>
      </c>
    </row>
    <row r="49" spans="4:5" outlineLevel="1">
      <c r="D49" t="s">
        <v>21</v>
      </c>
      <c r="E49" s="64">
        <f>'Reporte Dirección'!N40</f>
        <v>2764850</v>
      </c>
    </row>
    <row r="50" spans="4:5" outlineLevel="1">
      <c r="D50" t="s">
        <v>40</v>
      </c>
      <c r="E50" s="64">
        <f>'Reporte Dirección'!N41</f>
        <v>1182611.43</v>
      </c>
    </row>
    <row r="51" spans="4:5" outlineLevel="1">
      <c r="D51" t="s">
        <v>33</v>
      </c>
      <c r="E51" s="64">
        <f>'Reporte Dirección'!N42</f>
        <v>10229358.15</v>
      </c>
    </row>
    <row r="52" spans="4:5" outlineLevel="1">
      <c r="D52" t="s">
        <v>35</v>
      </c>
      <c r="E52" s="64">
        <f>'Reporte Dirección'!N43</f>
        <v>5774000</v>
      </c>
    </row>
    <row r="53" spans="4:5" outlineLevel="1">
      <c r="D53" t="s">
        <v>54</v>
      </c>
      <c r="E53" s="64">
        <f>'Reporte Dirección'!N44</f>
        <v>1650000</v>
      </c>
    </row>
  </sheetData>
  <mergeCells count="16">
    <mergeCell ref="A30:C30"/>
    <mergeCell ref="D30:E30"/>
    <mergeCell ref="G4:H4"/>
    <mergeCell ref="G5:H5"/>
    <mergeCell ref="A4:B4"/>
    <mergeCell ref="A5:B5"/>
    <mergeCell ref="C4:D4"/>
    <mergeCell ref="C5:D5"/>
    <mergeCell ref="E4:F4"/>
    <mergeCell ref="E5:F5"/>
    <mergeCell ref="J27:K27"/>
    <mergeCell ref="J28:K28"/>
    <mergeCell ref="A28:C28"/>
    <mergeCell ref="D28:E28"/>
    <mergeCell ref="A29:C29"/>
    <mergeCell ref="D29:E2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0"/>
  <sheetViews>
    <sheetView zoomScale="85" zoomScaleNormal="85" workbookViewId="0">
      <selection activeCell="D16" sqref="D16"/>
    </sheetView>
  </sheetViews>
  <sheetFormatPr defaultColWidth="11.42578125" defaultRowHeight="14.45"/>
  <cols>
    <col min="1" max="1" width="15.5703125" customWidth="1"/>
    <col min="2" max="2" width="19.85546875" customWidth="1"/>
    <col min="3" max="3" width="14.7109375" customWidth="1"/>
    <col min="4" max="4" width="31.42578125" customWidth="1"/>
    <col min="5" max="5" width="22.42578125" customWidth="1"/>
    <col min="6" max="6" width="10.28515625" customWidth="1"/>
    <col min="7" max="7" width="12" customWidth="1"/>
    <col min="8" max="8" width="19" customWidth="1"/>
    <col min="9" max="9" width="18.5703125" customWidth="1"/>
    <col min="10" max="10" width="13.140625" customWidth="1"/>
    <col min="11" max="11" width="18" customWidth="1"/>
    <col min="12" max="12" width="15.5703125" style="1" bestFit="1" customWidth="1"/>
    <col min="13" max="13" width="12.7109375" customWidth="1"/>
    <col min="14" max="14" width="20.5703125" customWidth="1"/>
    <col min="16" max="16" width="16.7109375" customWidth="1"/>
    <col min="17" max="17" width="27.140625" customWidth="1"/>
    <col min="18" max="18" width="44.85546875" customWidth="1"/>
    <col min="19" max="19" width="21.7109375" customWidth="1"/>
    <col min="20" max="20" width="16.85546875" customWidth="1"/>
    <col min="21" max="21" width="16.28515625" customWidth="1"/>
    <col min="22" max="22" width="17.85546875" customWidth="1"/>
    <col min="23" max="23" width="21.5703125" customWidth="1"/>
    <col min="24" max="24" width="17.28515625" customWidth="1"/>
    <col min="25" max="25" width="22.85546875" customWidth="1"/>
    <col min="26" max="26" width="24.5703125" customWidth="1"/>
    <col min="27" max="27" width="14.7109375" customWidth="1"/>
  </cols>
  <sheetData>
    <row r="1" spans="1:27">
      <c r="A1" s="50" t="s">
        <v>79</v>
      </c>
      <c r="B1" s="51" t="s">
        <v>80</v>
      </c>
      <c r="C1" s="51" t="s">
        <v>81</v>
      </c>
      <c r="D1" s="51" t="s">
        <v>82</v>
      </c>
      <c r="E1" s="51" t="s">
        <v>83</v>
      </c>
      <c r="F1" s="51" t="s">
        <v>84</v>
      </c>
      <c r="G1" s="51" t="s">
        <v>85</v>
      </c>
      <c r="H1" s="51" t="s">
        <v>86</v>
      </c>
      <c r="I1" s="51" t="s">
        <v>87</v>
      </c>
      <c r="J1" s="51" t="s">
        <v>88</v>
      </c>
      <c r="K1" s="51" t="s">
        <v>89</v>
      </c>
      <c r="L1" s="52" t="s">
        <v>68</v>
      </c>
      <c r="M1" s="51" t="s">
        <v>90</v>
      </c>
      <c r="N1" s="51" t="s">
        <v>91</v>
      </c>
      <c r="O1" s="51" t="s">
        <v>92</v>
      </c>
      <c r="P1" s="53" t="s">
        <v>7</v>
      </c>
      <c r="Q1" s="53" t="s">
        <v>93</v>
      </c>
      <c r="R1" s="53" t="s">
        <v>94</v>
      </c>
      <c r="S1" s="51" t="s">
        <v>95</v>
      </c>
      <c r="T1" s="51" t="s">
        <v>96</v>
      </c>
      <c r="U1" s="51" t="s">
        <v>97</v>
      </c>
      <c r="V1" s="51" t="s">
        <v>98</v>
      </c>
      <c r="W1" s="51" t="s">
        <v>99</v>
      </c>
      <c r="X1" s="51" t="s">
        <v>100</v>
      </c>
      <c r="Y1" s="51" t="s">
        <v>101</v>
      </c>
      <c r="Z1" s="51" t="s">
        <v>102</v>
      </c>
      <c r="AA1" s="51" t="s">
        <v>103</v>
      </c>
    </row>
    <row r="2" spans="1:27">
      <c r="A2">
        <v>10771</v>
      </c>
      <c r="B2" t="s">
        <v>104</v>
      </c>
      <c r="C2">
        <v>20170725310</v>
      </c>
      <c r="D2" t="s">
        <v>105</v>
      </c>
      <c r="E2">
        <v>20170725310</v>
      </c>
      <c r="F2" t="s">
        <v>106</v>
      </c>
      <c r="G2">
        <v>1</v>
      </c>
      <c r="H2" s="41">
        <v>46169</v>
      </c>
      <c r="J2">
        <v>86217122528871</v>
      </c>
      <c r="K2" s="41">
        <v>46179</v>
      </c>
      <c r="L2">
        <v>2764850</v>
      </c>
      <c r="N2" t="s">
        <v>107</v>
      </c>
      <c r="O2" t="s">
        <v>108</v>
      </c>
      <c r="P2" t="s">
        <v>31</v>
      </c>
      <c r="Q2" s="41">
        <v>46174</v>
      </c>
      <c r="R2" t="s">
        <v>109</v>
      </c>
      <c r="S2" s="41">
        <v>46177</v>
      </c>
      <c r="T2" t="s">
        <v>110</v>
      </c>
      <c r="U2" s="43">
        <v>46170.500190057872</v>
      </c>
      <c r="V2" t="s">
        <v>111</v>
      </c>
      <c r="W2" t="s">
        <v>20</v>
      </c>
      <c r="X2" t="s">
        <v>112</v>
      </c>
      <c r="Y2" s="44">
        <v>46177.417349537034</v>
      </c>
      <c r="Z2" t="s">
        <v>111</v>
      </c>
    </row>
    <row r="3" spans="1:27">
      <c r="A3">
        <v>10771</v>
      </c>
      <c r="B3" t="s">
        <v>104</v>
      </c>
      <c r="C3">
        <v>20170725310</v>
      </c>
      <c r="D3" t="s">
        <v>105</v>
      </c>
      <c r="E3">
        <v>20170725310</v>
      </c>
      <c r="F3" t="s">
        <v>106</v>
      </c>
      <c r="G3">
        <v>1</v>
      </c>
      <c r="H3" s="41">
        <v>46169</v>
      </c>
      <c r="J3">
        <v>86217122528871</v>
      </c>
      <c r="K3" s="41">
        <v>46179</v>
      </c>
      <c r="L3">
        <v>2764850</v>
      </c>
      <c r="N3" t="s">
        <v>107</v>
      </c>
      <c r="O3" t="s">
        <v>108</v>
      </c>
      <c r="P3" t="s">
        <v>31</v>
      </c>
      <c r="Q3" s="41">
        <v>46174</v>
      </c>
      <c r="R3" t="s">
        <v>109</v>
      </c>
      <c r="S3" s="41">
        <v>46177</v>
      </c>
      <c r="T3" t="s">
        <v>110</v>
      </c>
      <c r="U3" s="43">
        <v>46170.500190057872</v>
      </c>
      <c r="V3" t="s">
        <v>111</v>
      </c>
      <c r="W3" t="s">
        <v>113</v>
      </c>
      <c r="X3" t="s">
        <v>25</v>
      </c>
      <c r="Y3" s="44">
        <v>46170.500196759262</v>
      </c>
      <c r="Z3" t="s">
        <v>111</v>
      </c>
    </row>
    <row r="4" spans="1:27">
      <c r="A4">
        <v>10771</v>
      </c>
      <c r="B4" t="s">
        <v>104</v>
      </c>
      <c r="C4">
        <v>20170725310</v>
      </c>
      <c r="D4" t="s">
        <v>105</v>
      </c>
      <c r="E4">
        <v>20170725310</v>
      </c>
      <c r="F4" t="s">
        <v>106</v>
      </c>
      <c r="G4">
        <v>1</v>
      </c>
      <c r="H4" s="41">
        <v>46169</v>
      </c>
      <c r="J4">
        <v>86217122528871</v>
      </c>
      <c r="K4" s="41">
        <v>46179</v>
      </c>
      <c r="L4">
        <v>2764850</v>
      </c>
      <c r="N4" t="s">
        <v>107</v>
      </c>
      <c r="O4" t="s">
        <v>108</v>
      </c>
      <c r="P4" t="s">
        <v>31</v>
      </c>
      <c r="Q4" s="41">
        <v>46174</v>
      </c>
      <c r="R4" t="s">
        <v>109</v>
      </c>
      <c r="S4" s="41">
        <v>46177</v>
      </c>
      <c r="T4" t="s">
        <v>110</v>
      </c>
      <c r="U4" s="43">
        <v>46170.500190057872</v>
      </c>
      <c r="V4" t="s">
        <v>111</v>
      </c>
      <c r="W4" t="s">
        <v>114</v>
      </c>
      <c r="X4" t="s">
        <v>115</v>
      </c>
      <c r="Y4" s="44">
        <v>46170.500196759262</v>
      </c>
      <c r="Z4" t="s">
        <v>111</v>
      </c>
      <c r="AA4" t="s">
        <v>116</v>
      </c>
    </row>
    <row r="5" spans="1:27">
      <c r="A5">
        <v>10771</v>
      </c>
      <c r="B5" t="s">
        <v>104</v>
      </c>
      <c r="C5">
        <v>20170725310</v>
      </c>
      <c r="D5" t="s">
        <v>105</v>
      </c>
      <c r="E5">
        <v>20170725310</v>
      </c>
      <c r="F5" t="s">
        <v>106</v>
      </c>
      <c r="G5">
        <v>1</v>
      </c>
      <c r="H5" s="41">
        <v>46169</v>
      </c>
      <c r="J5">
        <v>86217122528871</v>
      </c>
      <c r="K5" s="41">
        <v>46179</v>
      </c>
      <c r="L5">
        <v>2764850</v>
      </c>
      <c r="N5" t="s">
        <v>107</v>
      </c>
      <c r="O5" t="s">
        <v>108</v>
      </c>
      <c r="P5" t="s">
        <v>31</v>
      </c>
      <c r="Q5" s="41">
        <v>46174</v>
      </c>
      <c r="R5" t="s">
        <v>109</v>
      </c>
      <c r="S5" s="41">
        <v>46177</v>
      </c>
      <c r="T5" t="s">
        <v>110</v>
      </c>
      <c r="U5" s="43">
        <v>46170.500190057872</v>
      </c>
      <c r="V5" t="s">
        <v>111</v>
      </c>
      <c r="W5" t="s">
        <v>25</v>
      </c>
      <c r="X5" t="s">
        <v>25</v>
      </c>
      <c r="Y5" s="44">
        <v>46174.438009259262</v>
      </c>
      <c r="Z5" t="s">
        <v>117</v>
      </c>
    </row>
    <row r="6" spans="1:27">
      <c r="A6">
        <v>10788</v>
      </c>
      <c r="B6" t="s">
        <v>118</v>
      </c>
      <c r="C6">
        <v>23308238849</v>
      </c>
      <c r="D6" t="s">
        <v>119</v>
      </c>
      <c r="E6">
        <v>23308238849</v>
      </c>
      <c r="F6" t="s">
        <v>106</v>
      </c>
      <c r="G6">
        <v>1</v>
      </c>
      <c r="H6" s="41">
        <v>46161</v>
      </c>
      <c r="J6">
        <v>86227500581316</v>
      </c>
      <c r="K6" s="41">
        <v>46171</v>
      </c>
      <c r="L6">
        <v>2887000</v>
      </c>
      <c r="N6" t="s">
        <v>107</v>
      </c>
      <c r="O6" t="s">
        <v>108</v>
      </c>
      <c r="P6" t="s">
        <v>41</v>
      </c>
      <c r="Q6" s="41">
        <v>46174</v>
      </c>
      <c r="R6" t="s">
        <v>120</v>
      </c>
      <c r="S6" s="41">
        <v>46177</v>
      </c>
      <c r="T6" t="s">
        <v>110</v>
      </c>
      <c r="U6" s="43">
        <v>46174.340803009261</v>
      </c>
      <c r="V6" t="s">
        <v>111</v>
      </c>
      <c r="W6" t="s">
        <v>20</v>
      </c>
      <c r="X6" t="s">
        <v>112</v>
      </c>
      <c r="Y6" s="44">
        <v>46177.40797453704</v>
      </c>
      <c r="Z6" t="s">
        <v>111</v>
      </c>
    </row>
    <row r="7" spans="1:27">
      <c r="A7">
        <v>10788</v>
      </c>
      <c r="B7" t="s">
        <v>118</v>
      </c>
      <c r="C7">
        <v>23308238849</v>
      </c>
      <c r="D7" t="s">
        <v>119</v>
      </c>
      <c r="E7">
        <v>23308238849</v>
      </c>
      <c r="F7" t="s">
        <v>106</v>
      </c>
      <c r="G7">
        <v>1</v>
      </c>
      <c r="H7" s="41">
        <v>46161</v>
      </c>
      <c r="J7">
        <v>86227500581316</v>
      </c>
      <c r="K7" s="41">
        <v>46171</v>
      </c>
      <c r="L7">
        <v>2887000</v>
      </c>
      <c r="N7" t="s">
        <v>107</v>
      </c>
      <c r="O7" t="s">
        <v>108</v>
      </c>
      <c r="P7" t="s">
        <v>41</v>
      </c>
      <c r="Q7" s="41">
        <v>46174</v>
      </c>
      <c r="R7" t="s">
        <v>120</v>
      </c>
      <c r="S7" s="41">
        <v>46177</v>
      </c>
      <c r="T7" t="s">
        <v>110</v>
      </c>
      <c r="U7" s="43">
        <v>46174.340803009261</v>
      </c>
      <c r="V7" t="s">
        <v>111</v>
      </c>
      <c r="W7" t="s">
        <v>113</v>
      </c>
      <c r="X7" t="s">
        <v>25</v>
      </c>
      <c r="Y7" s="44">
        <v>46174.340810185182</v>
      </c>
      <c r="Z7" t="s">
        <v>111</v>
      </c>
    </row>
    <row r="8" spans="1:27">
      <c r="A8">
        <v>10788</v>
      </c>
      <c r="B8" t="s">
        <v>118</v>
      </c>
      <c r="C8">
        <v>23308238849</v>
      </c>
      <c r="D8" t="s">
        <v>119</v>
      </c>
      <c r="E8">
        <v>23308238849</v>
      </c>
      <c r="F8" t="s">
        <v>106</v>
      </c>
      <c r="G8">
        <v>1</v>
      </c>
      <c r="H8" s="41">
        <v>46161</v>
      </c>
      <c r="J8">
        <v>86227500581316</v>
      </c>
      <c r="K8" s="41">
        <v>46171</v>
      </c>
      <c r="L8">
        <v>2887000</v>
      </c>
      <c r="N8" t="s">
        <v>107</v>
      </c>
      <c r="O8" t="s">
        <v>108</v>
      </c>
      <c r="P8" t="s">
        <v>41</v>
      </c>
      <c r="Q8" s="41">
        <v>46174</v>
      </c>
      <c r="R8" t="s">
        <v>120</v>
      </c>
      <c r="S8" s="41">
        <v>46177</v>
      </c>
      <c r="T8" t="s">
        <v>110</v>
      </c>
      <c r="U8" s="43">
        <v>46174.340803009261</v>
      </c>
      <c r="V8" t="s">
        <v>111</v>
      </c>
      <c r="W8" t="s">
        <v>114</v>
      </c>
      <c r="X8" t="s">
        <v>115</v>
      </c>
      <c r="Y8" s="44">
        <v>46174.340810185182</v>
      </c>
      <c r="Z8" t="s">
        <v>111</v>
      </c>
      <c r="AA8" t="s">
        <v>116</v>
      </c>
    </row>
    <row r="9" spans="1:27">
      <c r="A9">
        <v>10788</v>
      </c>
      <c r="B9" t="s">
        <v>118</v>
      </c>
      <c r="C9">
        <v>23308238849</v>
      </c>
      <c r="D9" t="s">
        <v>119</v>
      </c>
      <c r="E9">
        <v>23308238849</v>
      </c>
      <c r="F9" t="s">
        <v>106</v>
      </c>
      <c r="G9">
        <v>1</v>
      </c>
      <c r="H9" s="41">
        <v>46161</v>
      </c>
      <c r="J9">
        <v>86227500581316</v>
      </c>
      <c r="K9" s="41">
        <v>46171</v>
      </c>
      <c r="L9">
        <v>2887000</v>
      </c>
      <c r="N9" t="s">
        <v>107</v>
      </c>
      <c r="O9" t="s">
        <v>108</v>
      </c>
      <c r="P9" t="s">
        <v>41</v>
      </c>
      <c r="Q9" s="41">
        <v>46174</v>
      </c>
      <c r="R9" t="s">
        <v>120</v>
      </c>
      <c r="S9" s="41">
        <v>46177</v>
      </c>
      <c r="T9" t="s">
        <v>110</v>
      </c>
      <c r="U9" s="43">
        <v>46174.340803009261</v>
      </c>
      <c r="V9" t="s">
        <v>111</v>
      </c>
      <c r="W9" t="s">
        <v>25</v>
      </c>
      <c r="X9" t="s">
        <v>25</v>
      </c>
      <c r="Y9" s="44">
        <v>46174.412002314813</v>
      </c>
      <c r="Z9" t="s">
        <v>121</v>
      </c>
    </row>
    <row r="10" spans="1:27">
      <c r="A10">
        <v>10789</v>
      </c>
      <c r="B10" t="s">
        <v>122</v>
      </c>
      <c r="C10">
        <v>23308238849</v>
      </c>
      <c r="D10" t="s">
        <v>119</v>
      </c>
      <c r="E10">
        <v>23308238849</v>
      </c>
      <c r="F10" t="s">
        <v>106</v>
      </c>
      <c r="G10">
        <v>1</v>
      </c>
      <c r="H10" s="41">
        <v>46171</v>
      </c>
      <c r="J10">
        <v>86227500851915</v>
      </c>
      <c r="K10" s="41">
        <v>46181</v>
      </c>
      <c r="L10">
        <v>2887000</v>
      </c>
      <c r="N10" t="s">
        <v>107</v>
      </c>
      <c r="O10" t="s">
        <v>108</v>
      </c>
      <c r="P10" t="s">
        <v>41</v>
      </c>
      <c r="Q10" s="41">
        <v>46174</v>
      </c>
      <c r="R10" t="s">
        <v>120</v>
      </c>
      <c r="U10" s="43">
        <v>46174.341147789353</v>
      </c>
      <c r="V10" t="s">
        <v>111</v>
      </c>
      <c r="W10" t="s">
        <v>25</v>
      </c>
      <c r="X10" t="s">
        <v>112</v>
      </c>
      <c r="Y10" s="44">
        <v>46174.41138888889</v>
      </c>
      <c r="Z10" t="s">
        <v>121</v>
      </c>
    </row>
    <row r="11" spans="1:27">
      <c r="A11">
        <v>10789</v>
      </c>
      <c r="B11" t="s">
        <v>122</v>
      </c>
      <c r="C11">
        <v>23308238849</v>
      </c>
      <c r="D11" t="s">
        <v>119</v>
      </c>
      <c r="E11">
        <v>23308238849</v>
      </c>
      <c r="F11" t="s">
        <v>106</v>
      </c>
      <c r="G11">
        <v>1</v>
      </c>
      <c r="H11" s="41">
        <v>46171</v>
      </c>
      <c r="J11">
        <v>86227500851915</v>
      </c>
      <c r="K11" s="41">
        <v>46181</v>
      </c>
      <c r="L11">
        <v>2887000</v>
      </c>
      <c r="N11" t="s">
        <v>107</v>
      </c>
      <c r="O11" t="s">
        <v>108</v>
      </c>
      <c r="P11" t="s">
        <v>41</v>
      </c>
      <c r="Q11" s="41">
        <v>46174</v>
      </c>
      <c r="R11" t="s">
        <v>120</v>
      </c>
      <c r="U11" s="43">
        <v>46174.341147789353</v>
      </c>
      <c r="V11" t="s">
        <v>111</v>
      </c>
      <c r="W11" t="s">
        <v>113</v>
      </c>
      <c r="X11" t="s">
        <v>25</v>
      </c>
      <c r="Y11" s="44">
        <v>46174.341157407405</v>
      </c>
      <c r="Z11" t="s">
        <v>111</v>
      </c>
    </row>
    <row r="12" spans="1:27">
      <c r="A12">
        <v>10789</v>
      </c>
      <c r="B12" t="s">
        <v>122</v>
      </c>
      <c r="C12">
        <v>23308238849</v>
      </c>
      <c r="D12" t="s">
        <v>119</v>
      </c>
      <c r="E12">
        <v>23308238849</v>
      </c>
      <c r="F12" t="s">
        <v>106</v>
      </c>
      <c r="G12">
        <v>1</v>
      </c>
      <c r="H12" s="41">
        <v>46171</v>
      </c>
      <c r="J12">
        <v>86227500851915</v>
      </c>
      <c r="K12" s="41">
        <v>46181</v>
      </c>
      <c r="L12">
        <v>2887000</v>
      </c>
      <c r="N12" t="s">
        <v>107</v>
      </c>
      <c r="O12" t="s">
        <v>108</v>
      </c>
      <c r="P12" t="s">
        <v>41</v>
      </c>
      <c r="Q12" s="41">
        <v>46174</v>
      </c>
      <c r="R12" t="s">
        <v>120</v>
      </c>
      <c r="U12" s="43">
        <v>46174.341147789353</v>
      </c>
      <c r="V12" t="s">
        <v>111</v>
      </c>
      <c r="W12" t="s">
        <v>114</v>
      </c>
      <c r="X12" t="s">
        <v>115</v>
      </c>
      <c r="Y12" s="44">
        <v>46174.341157407405</v>
      </c>
      <c r="Z12" t="s">
        <v>111</v>
      </c>
      <c r="AA12" t="s">
        <v>116</v>
      </c>
    </row>
    <row r="13" spans="1:27">
      <c r="A13">
        <v>10790</v>
      </c>
      <c r="B13" t="s">
        <v>123</v>
      </c>
      <c r="C13">
        <v>30716700964</v>
      </c>
      <c r="D13" t="s">
        <v>124</v>
      </c>
      <c r="E13">
        <v>30716700964</v>
      </c>
      <c r="F13" t="s">
        <v>106</v>
      </c>
      <c r="G13">
        <v>1</v>
      </c>
      <c r="H13" s="41">
        <v>46171</v>
      </c>
      <c r="J13">
        <v>86227517941628</v>
      </c>
      <c r="K13" s="41">
        <v>46181</v>
      </c>
      <c r="L13">
        <v>360607.24</v>
      </c>
      <c r="N13" t="s">
        <v>107</v>
      </c>
      <c r="O13" t="s">
        <v>125</v>
      </c>
      <c r="P13" t="s">
        <v>41</v>
      </c>
      <c r="Q13" s="41">
        <v>46174</v>
      </c>
      <c r="R13" t="s">
        <v>126</v>
      </c>
      <c r="U13" s="43">
        <v>46174.341948460649</v>
      </c>
      <c r="V13" t="s">
        <v>111</v>
      </c>
      <c r="W13" t="s">
        <v>25</v>
      </c>
      <c r="X13" t="s">
        <v>112</v>
      </c>
      <c r="Y13" s="44">
        <v>46174.410590277781</v>
      </c>
      <c r="Z13" t="s">
        <v>121</v>
      </c>
    </row>
    <row r="14" spans="1:27">
      <c r="A14">
        <v>10790</v>
      </c>
      <c r="B14" t="s">
        <v>123</v>
      </c>
      <c r="C14">
        <v>30716700964</v>
      </c>
      <c r="D14" t="s">
        <v>124</v>
      </c>
      <c r="E14">
        <v>30716700964</v>
      </c>
      <c r="F14" t="s">
        <v>106</v>
      </c>
      <c r="G14">
        <v>1</v>
      </c>
      <c r="H14" s="41">
        <v>46171</v>
      </c>
      <c r="J14">
        <v>86227517941628</v>
      </c>
      <c r="K14" s="41">
        <v>46181</v>
      </c>
      <c r="L14">
        <v>360607.24</v>
      </c>
      <c r="N14" t="s">
        <v>107</v>
      </c>
      <c r="O14" t="s">
        <v>125</v>
      </c>
      <c r="P14" t="s">
        <v>41</v>
      </c>
      <c r="Q14" s="41">
        <v>46174</v>
      </c>
      <c r="R14" t="s">
        <v>126</v>
      </c>
      <c r="U14" s="43">
        <v>46174.341948460649</v>
      </c>
      <c r="V14" t="s">
        <v>111</v>
      </c>
      <c r="W14" t="s">
        <v>113</v>
      </c>
      <c r="X14" t="s">
        <v>25</v>
      </c>
      <c r="Y14" s="44">
        <v>46174.341956018521</v>
      </c>
      <c r="Z14" t="s">
        <v>111</v>
      </c>
    </row>
    <row r="15" spans="1:27">
      <c r="A15">
        <v>10790</v>
      </c>
      <c r="B15" t="s">
        <v>123</v>
      </c>
      <c r="C15">
        <v>30716700964</v>
      </c>
      <c r="D15" t="s">
        <v>124</v>
      </c>
      <c r="E15">
        <v>30716700964</v>
      </c>
      <c r="F15" t="s">
        <v>106</v>
      </c>
      <c r="G15">
        <v>1</v>
      </c>
      <c r="H15" s="41">
        <v>46171</v>
      </c>
      <c r="J15">
        <v>86227517941628</v>
      </c>
      <c r="K15" s="41">
        <v>46181</v>
      </c>
      <c r="L15">
        <v>360607.24</v>
      </c>
      <c r="N15" t="s">
        <v>107</v>
      </c>
      <c r="O15" t="s">
        <v>125</v>
      </c>
      <c r="P15" t="s">
        <v>41</v>
      </c>
      <c r="Q15" s="41">
        <v>46174</v>
      </c>
      <c r="R15" t="s">
        <v>126</v>
      </c>
      <c r="U15" s="43">
        <v>46174.341948460649</v>
      </c>
      <c r="V15" t="s">
        <v>111</v>
      </c>
      <c r="W15" t="s">
        <v>114</v>
      </c>
      <c r="X15" t="s">
        <v>127</v>
      </c>
      <c r="Y15" s="44">
        <v>46174.341956018521</v>
      </c>
      <c r="Z15" t="s">
        <v>111</v>
      </c>
      <c r="AA15" t="s">
        <v>116</v>
      </c>
    </row>
    <row r="16" spans="1:27">
      <c r="A16">
        <v>10791</v>
      </c>
      <c r="B16" t="s">
        <v>128</v>
      </c>
      <c r="C16">
        <v>30716700964</v>
      </c>
      <c r="D16" t="s">
        <v>124</v>
      </c>
      <c r="E16">
        <v>30716700964</v>
      </c>
      <c r="F16" t="s">
        <v>106</v>
      </c>
      <c r="G16">
        <v>1</v>
      </c>
      <c r="H16" s="41">
        <v>46156</v>
      </c>
      <c r="L16">
        <v>200700.25</v>
      </c>
      <c r="N16" t="s">
        <v>107</v>
      </c>
      <c r="O16" t="s">
        <v>108</v>
      </c>
      <c r="P16" t="s">
        <v>41</v>
      </c>
      <c r="Q16" s="41">
        <v>46174</v>
      </c>
      <c r="R16" t="s">
        <v>129</v>
      </c>
      <c r="U16" s="43">
        <v>46174.34272359954</v>
      </c>
      <c r="V16" t="s">
        <v>111</v>
      </c>
      <c r="W16" t="s">
        <v>25</v>
      </c>
      <c r="X16" t="s">
        <v>112</v>
      </c>
      <c r="Y16" s="44">
        <v>46174.40966435185</v>
      </c>
      <c r="Z16" t="s">
        <v>121</v>
      </c>
    </row>
    <row r="17" spans="1:27">
      <c r="A17">
        <v>10791</v>
      </c>
      <c r="B17" t="s">
        <v>128</v>
      </c>
      <c r="C17">
        <v>30716700964</v>
      </c>
      <c r="D17" t="s">
        <v>124</v>
      </c>
      <c r="E17">
        <v>30716700964</v>
      </c>
      <c r="F17" t="s">
        <v>106</v>
      </c>
      <c r="G17">
        <v>1</v>
      </c>
      <c r="H17" s="41">
        <v>46156</v>
      </c>
      <c r="L17">
        <v>200700.25</v>
      </c>
      <c r="N17" t="s">
        <v>107</v>
      </c>
      <c r="O17" t="s">
        <v>108</v>
      </c>
      <c r="P17" t="s">
        <v>41</v>
      </c>
      <c r="Q17" s="41">
        <v>46174</v>
      </c>
      <c r="R17" t="s">
        <v>129</v>
      </c>
      <c r="U17" s="43">
        <v>46174.34272359954</v>
      </c>
      <c r="V17" t="s">
        <v>111</v>
      </c>
      <c r="W17" t="s">
        <v>113</v>
      </c>
      <c r="X17" t="s">
        <v>25</v>
      </c>
      <c r="Y17" s="44">
        <v>46174.342731481483</v>
      </c>
      <c r="Z17" t="s">
        <v>111</v>
      </c>
    </row>
    <row r="18" spans="1:27">
      <c r="A18">
        <v>10791</v>
      </c>
      <c r="B18" t="s">
        <v>128</v>
      </c>
      <c r="C18">
        <v>30716700964</v>
      </c>
      <c r="D18" t="s">
        <v>124</v>
      </c>
      <c r="E18">
        <v>30716700964</v>
      </c>
      <c r="F18" t="s">
        <v>106</v>
      </c>
      <c r="G18">
        <v>1</v>
      </c>
      <c r="H18" s="41">
        <v>46156</v>
      </c>
      <c r="L18">
        <v>200700.25</v>
      </c>
      <c r="N18" t="s">
        <v>107</v>
      </c>
      <c r="O18" t="s">
        <v>108</v>
      </c>
      <c r="P18" t="s">
        <v>41</v>
      </c>
      <c r="Q18" s="41">
        <v>46174</v>
      </c>
      <c r="R18" t="s">
        <v>129</v>
      </c>
      <c r="U18" s="43">
        <v>46174.34272359954</v>
      </c>
      <c r="V18" t="s">
        <v>111</v>
      </c>
      <c r="W18" t="s">
        <v>114</v>
      </c>
      <c r="X18" t="s">
        <v>115</v>
      </c>
      <c r="Y18" s="44">
        <v>46174.342731481483</v>
      </c>
      <c r="Z18" t="s">
        <v>111</v>
      </c>
      <c r="AA18" t="s">
        <v>116</v>
      </c>
    </row>
    <row r="19" spans="1:27">
      <c r="A19">
        <v>10792</v>
      </c>
      <c r="B19" t="s">
        <v>130</v>
      </c>
      <c r="C19">
        <v>33709685479</v>
      </c>
      <c r="D19" t="s">
        <v>131</v>
      </c>
      <c r="E19">
        <v>33709685479</v>
      </c>
      <c r="F19" t="s">
        <v>106</v>
      </c>
      <c r="G19">
        <v>1</v>
      </c>
      <c r="H19" s="41">
        <v>46171</v>
      </c>
      <c r="J19">
        <v>86227400980364</v>
      </c>
      <c r="L19">
        <v>38962</v>
      </c>
      <c r="N19" t="s">
        <v>107</v>
      </c>
      <c r="O19" t="s">
        <v>125</v>
      </c>
      <c r="P19" t="s">
        <v>41</v>
      </c>
      <c r="Q19" s="41">
        <v>46175</v>
      </c>
      <c r="R19" t="s">
        <v>126</v>
      </c>
      <c r="U19" s="43">
        <v>46174.343313703706</v>
      </c>
      <c r="V19" t="s">
        <v>111</v>
      </c>
      <c r="W19" t="s">
        <v>25</v>
      </c>
      <c r="X19" t="s">
        <v>112</v>
      </c>
      <c r="Y19" s="44">
        <v>46175.499120370368</v>
      </c>
      <c r="Z19" t="s">
        <v>121</v>
      </c>
    </row>
    <row r="20" spans="1:27">
      <c r="A20">
        <v>10792</v>
      </c>
      <c r="B20" t="s">
        <v>130</v>
      </c>
      <c r="C20">
        <v>33709685479</v>
      </c>
      <c r="D20" t="s">
        <v>131</v>
      </c>
      <c r="E20">
        <v>33709685479</v>
      </c>
      <c r="F20" t="s">
        <v>106</v>
      </c>
      <c r="G20">
        <v>1</v>
      </c>
      <c r="H20" s="41">
        <v>46171</v>
      </c>
      <c r="J20">
        <v>86227400980364</v>
      </c>
      <c r="L20">
        <v>38962</v>
      </c>
      <c r="N20" t="s">
        <v>107</v>
      </c>
      <c r="O20" t="s">
        <v>125</v>
      </c>
      <c r="P20" t="s">
        <v>41</v>
      </c>
      <c r="Q20" s="41">
        <v>46175</v>
      </c>
      <c r="R20" t="s">
        <v>126</v>
      </c>
      <c r="U20" s="43">
        <v>46174.343313703706</v>
      </c>
      <c r="V20" t="s">
        <v>111</v>
      </c>
      <c r="W20" t="s">
        <v>113</v>
      </c>
      <c r="X20" t="s">
        <v>25</v>
      </c>
      <c r="Y20" s="44">
        <v>46174.343321759261</v>
      </c>
      <c r="Z20" t="s">
        <v>111</v>
      </c>
    </row>
    <row r="21" spans="1:27">
      <c r="A21">
        <v>10792</v>
      </c>
      <c r="B21" t="s">
        <v>130</v>
      </c>
      <c r="C21">
        <v>33709685479</v>
      </c>
      <c r="D21" t="s">
        <v>131</v>
      </c>
      <c r="E21">
        <v>33709685479</v>
      </c>
      <c r="F21" t="s">
        <v>106</v>
      </c>
      <c r="G21">
        <v>1</v>
      </c>
      <c r="H21" s="41">
        <v>46171</v>
      </c>
      <c r="J21">
        <v>86227400980364</v>
      </c>
      <c r="L21">
        <v>38962</v>
      </c>
      <c r="N21" t="s">
        <v>107</v>
      </c>
      <c r="O21" t="s">
        <v>125</v>
      </c>
      <c r="P21" t="s">
        <v>41</v>
      </c>
      <c r="Q21" s="41">
        <v>46175</v>
      </c>
      <c r="R21" t="s">
        <v>126</v>
      </c>
      <c r="U21" s="43">
        <v>46174.343313703706</v>
      </c>
      <c r="V21" t="s">
        <v>111</v>
      </c>
      <c r="W21" t="s">
        <v>114</v>
      </c>
      <c r="X21" t="s">
        <v>127</v>
      </c>
      <c r="Y21" s="44">
        <v>46174.343321759261</v>
      </c>
      <c r="Z21" t="s">
        <v>111</v>
      </c>
      <c r="AA21" t="s">
        <v>116</v>
      </c>
    </row>
    <row r="22" spans="1:27">
      <c r="A22">
        <v>10793</v>
      </c>
      <c r="B22" t="s">
        <v>132</v>
      </c>
      <c r="C22">
        <v>33709685479</v>
      </c>
      <c r="D22" t="s">
        <v>131</v>
      </c>
      <c r="E22">
        <v>33709685479</v>
      </c>
      <c r="F22" t="s">
        <v>106</v>
      </c>
      <c r="G22">
        <v>1</v>
      </c>
      <c r="H22" s="41">
        <v>46170</v>
      </c>
      <c r="J22">
        <v>86227309635415</v>
      </c>
      <c r="L22">
        <v>37873</v>
      </c>
      <c r="N22" t="s">
        <v>107</v>
      </c>
      <c r="O22" t="s">
        <v>108</v>
      </c>
      <c r="P22" t="s">
        <v>41</v>
      </c>
      <c r="Q22" s="41">
        <v>46174</v>
      </c>
      <c r="R22" t="s">
        <v>129</v>
      </c>
      <c r="U22" s="43">
        <v>46174.344007939813</v>
      </c>
      <c r="V22" t="s">
        <v>111</v>
      </c>
      <c r="W22" t="s">
        <v>25</v>
      </c>
      <c r="X22" t="s">
        <v>112</v>
      </c>
      <c r="Y22" s="44">
        <v>46174.408113425925</v>
      </c>
      <c r="Z22" t="s">
        <v>121</v>
      </c>
      <c r="AA22" t="s">
        <v>133</v>
      </c>
    </row>
    <row r="23" spans="1:27">
      <c r="A23">
        <v>10793</v>
      </c>
      <c r="B23" t="s">
        <v>132</v>
      </c>
      <c r="C23">
        <v>33709685479</v>
      </c>
      <c r="D23" t="s">
        <v>131</v>
      </c>
      <c r="E23">
        <v>33709685479</v>
      </c>
      <c r="F23" t="s">
        <v>106</v>
      </c>
      <c r="G23">
        <v>1</v>
      </c>
      <c r="H23" s="41">
        <v>46170</v>
      </c>
      <c r="J23">
        <v>86227309635415</v>
      </c>
      <c r="L23">
        <v>37873</v>
      </c>
      <c r="N23" t="s">
        <v>107</v>
      </c>
      <c r="O23" t="s">
        <v>108</v>
      </c>
      <c r="P23" t="s">
        <v>41</v>
      </c>
      <c r="Q23" s="41">
        <v>46174</v>
      </c>
      <c r="R23" t="s">
        <v>129</v>
      </c>
      <c r="U23" s="43">
        <v>46174.344007939813</v>
      </c>
      <c r="V23" t="s">
        <v>111</v>
      </c>
      <c r="W23" t="s">
        <v>113</v>
      </c>
      <c r="X23" t="s">
        <v>25</v>
      </c>
      <c r="Y23" s="44">
        <v>46174.3440162037</v>
      </c>
      <c r="Z23" t="s">
        <v>111</v>
      </c>
    </row>
    <row r="24" spans="1:27">
      <c r="A24">
        <v>10793</v>
      </c>
      <c r="B24" t="s">
        <v>132</v>
      </c>
      <c r="C24">
        <v>33709685479</v>
      </c>
      <c r="D24" t="s">
        <v>131</v>
      </c>
      <c r="E24">
        <v>33709685479</v>
      </c>
      <c r="F24" t="s">
        <v>106</v>
      </c>
      <c r="G24">
        <v>1</v>
      </c>
      <c r="H24" s="41">
        <v>46170</v>
      </c>
      <c r="J24">
        <v>86227309635415</v>
      </c>
      <c r="L24">
        <v>37873</v>
      </c>
      <c r="N24" t="s">
        <v>107</v>
      </c>
      <c r="O24" t="s">
        <v>108</v>
      </c>
      <c r="P24" t="s">
        <v>41</v>
      </c>
      <c r="Q24" s="41">
        <v>46174</v>
      </c>
      <c r="R24" t="s">
        <v>129</v>
      </c>
      <c r="U24" s="43">
        <v>46174.344007939813</v>
      </c>
      <c r="V24" t="s">
        <v>111</v>
      </c>
      <c r="W24" t="s">
        <v>114</v>
      </c>
      <c r="X24" t="s">
        <v>115</v>
      </c>
      <c r="Y24" s="44">
        <v>46174.3440162037</v>
      </c>
      <c r="Z24" t="s">
        <v>111</v>
      </c>
      <c r="AA24" t="s">
        <v>116</v>
      </c>
    </row>
    <row r="25" spans="1:27">
      <c r="A25">
        <v>10794</v>
      </c>
      <c r="B25" t="s">
        <v>134</v>
      </c>
      <c r="C25">
        <v>33709685479</v>
      </c>
      <c r="D25" t="s">
        <v>131</v>
      </c>
      <c r="E25">
        <v>33709685479</v>
      </c>
      <c r="F25" t="s">
        <v>106</v>
      </c>
      <c r="G25">
        <v>1</v>
      </c>
      <c r="H25" s="41">
        <v>46171</v>
      </c>
      <c r="J25">
        <v>86227431871138</v>
      </c>
      <c r="L25">
        <v>57838.67</v>
      </c>
      <c r="N25" t="s">
        <v>107</v>
      </c>
      <c r="O25" t="s">
        <v>108</v>
      </c>
      <c r="P25" t="s">
        <v>41</v>
      </c>
      <c r="Q25" s="41">
        <v>46175</v>
      </c>
      <c r="R25" t="s">
        <v>129</v>
      </c>
      <c r="U25" s="43">
        <v>46174.347017997687</v>
      </c>
      <c r="V25" t="s">
        <v>111</v>
      </c>
      <c r="W25" t="s">
        <v>25</v>
      </c>
      <c r="X25" t="s">
        <v>112</v>
      </c>
      <c r="Y25" s="44">
        <v>46175.49324074074</v>
      </c>
      <c r="Z25" t="s">
        <v>121</v>
      </c>
      <c r="AA25" t="s">
        <v>135</v>
      </c>
    </row>
    <row r="26" spans="1:27">
      <c r="A26">
        <v>10794</v>
      </c>
      <c r="B26" t="s">
        <v>134</v>
      </c>
      <c r="C26">
        <v>33709685479</v>
      </c>
      <c r="D26" t="s">
        <v>131</v>
      </c>
      <c r="E26">
        <v>33709685479</v>
      </c>
      <c r="F26" t="s">
        <v>106</v>
      </c>
      <c r="G26">
        <v>1</v>
      </c>
      <c r="H26" s="41">
        <v>46171</v>
      </c>
      <c r="J26">
        <v>86227431871138</v>
      </c>
      <c r="L26">
        <v>57838.67</v>
      </c>
      <c r="N26" t="s">
        <v>107</v>
      </c>
      <c r="O26" t="s">
        <v>108</v>
      </c>
      <c r="P26" t="s">
        <v>41</v>
      </c>
      <c r="Q26" s="41">
        <v>46175</v>
      </c>
      <c r="R26" t="s">
        <v>129</v>
      </c>
      <c r="U26" s="43">
        <v>46174.347017997687</v>
      </c>
      <c r="V26" t="s">
        <v>111</v>
      </c>
      <c r="W26" t="s">
        <v>113</v>
      </c>
      <c r="X26" t="s">
        <v>25</v>
      </c>
      <c r="Y26" s="44">
        <v>46174.347025462965</v>
      </c>
      <c r="Z26" t="s">
        <v>111</v>
      </c>
    </row>
    <row r="27" spans="1:27">
      <c r="A27">
        <v>10794</v>
      </c>
      <c r="B27" t="s">
        <v>134</v>
      </c>
      <c r="C27">
        <v>33709685479</v>
      </c>
      <c r="D27" t="s">
        <v>131</v>
      </c>
      <c r="E27">
        <v>33709685479</v>
      </c>
      <c r="F27" t="s">
        <v>106</v>
      </c>
      <c r="G27">
        <v>1</v>
      </c>
      <c r="H27" s="41">
        <v>46171</v>
      </c>
      <c r="J27">
        <v>86227431871138</v>
      </c>
      <c r="L27">
        <v>57838.67</v>
      </c>
      <c r="N27" t="s">
        <v>107</v>
      </c>
      <c r="O27" t="s">
        <v>108</v>
      </c>
      <c r="P27" t="s">
        <v>41</v>
      </c>
      <c r="Q27" s="41">
        <v>46175</v>
      </c>
      <c r="R27" t="s">
        <v>129</v>
      </c>
      <c r="U27" s="43">
        <v>46174.347017997687</v>
      </c>
      <c r="V27" t="s">
        <v>111</v>
      </c>
      <c r="W27" t="s">
        <v>114</v>
      </c>
      <c r="X27" t="s">
        <v>115</v>
      </c>
      <c r="Y27" s="44">
        <v>46174.347025462965</v>
      </c>
      <c r="Z27" t="s">
        <v>111</v>
      </c>
      <c r="AA27" t="s">
        <v>116</v>
      </c>
    </row>
    <row r="28" spans="1:27">
      <c r="A28">
        <v>10795</v>
      </c>
      <c r="B28" t="s">
        <v>136</v>
      </c>
      <c r="C28">
        <v>30608233330</v>
      </c>
      <c r="D28" t="s">
        <v>137</v>
      </c>
      <c r="E28">
        <v>30608233330</v>
      </c>
      <c r="F28" t="s">
        <v>106</v>
      </c>
      <c r="G28">
        <v>1</v>
      </c>
      <c r="H28" s="41">
        <v>46169</v>
      </c>
      <c r="L28">
        <v>60929.31</v>
      </c>
      <c r="N28" t="s">
        <v>107</v>
      </c>
      <c r="O28" t="s">
        <v>108</v>
      </c>
      <c r="P28" t="s">
        <v>41</v>
      </c>
      <c r="Q28" s="41">
        <v>46174</v>
      </c>
      <c r="R28" t="s">
        <v>120</v>
      </c>
      <c r="U28" s="43">
        <v>46174.348036412041</v>
      </c>
      <c r="V28" t="s">
        <v>111</v>
      </c>
      <c r="W28" t="s">
        <v>25</v>
      </c>
      <c r="X28" t="s">
        <v>112</v>
      </c>
      <c r="Y28" s="44">
        <v>46174.403124999997</v>
      </c>
      <c r="Z28" t="s">
        <v>121</v>
      </c>
      <c r="AA28" t="s">
        <v>138</v>
      </c>
    </row>
    <row r="29" spans="1:27">
      <c r="A29">
        <v>10795</v>
      </c>
      <c r="B29" t="s">
        <v>136</v>
      </c>
      <c r="C29">
        <v>30608233330</v>
      </c>
      <c r="D29" t="s">
        <v>137</v>
      </c>
      <c r="E29">
        <v>30608233330</v>
      </c>
      <c r="F29" t="s">
        <v>106</v>
      </c>
      <c r="G29">
        <v>1</v>
      </c>
      <c r="H29" s="41">
        <v>46169</v>
      </c>
      <c r="L29">
        <v>60929.31</v>
      </c>
      <c r="N29" t="s">
        <v>107</v>
      </c>
      <c r="O29" t="s">
        <v>108</v>
      </c>
      <c r="P29" t="s">
        <v>41</v>
      </c>
      <c r="Q29" s="41">
        <v>46174</v>
      </c>
      <c r="R29" t="s">
        <v>120</v>
      </c>
      <c r="U29" s="43">
        <v>46174.348036412041</v>
      </c>
      <c r="V29" t="s">
        <v>111</v>
      </c>
      <c r="W29" t="s">
        <v>113</v>
      </c>
      <c r="X29" t="s">
        <v>25</v>
      </c>
      <c r="Y29" s="44">
        <v>46174.348043981481</v>
      </c>
      <c r="Z29" t="s">
        <v>111</v>
      </c>
    </row>
    <row r="30" spans="1:27">
      <c r="A30">
        <v>10795</v>
      </c>
      <c r="B30" t="s">
        <v>136</v>
      </c>
      <c r="C30">
        <v>30608233330</v>
      </c>
      <c r="D30" t="s">
        <v>137</v>
      </c>
      <c r="E30">
        <v>30608233330</v>
      </c>
      <c r="F30" t="s">
        <v>106</v>
      </c>
      <c r="G30">
        <v>1</v>
      </c>
      <c r="H30" s="41">
        <v>46169</v>
      </c>
      <c r="L30">
        <v>60929.31</v>
      </c>
      <c r="N30" t="s">
        <v>107</v>
      </c>
      <c r="O30" t="s">
        <v>108</v>
      </c>
      <c r="P30" t="s">
        <v>41</v>
      </c>
      <c r="Q30" s="41">
        <v>46174</v>
      </c>
      <c r="R30" t="s">
        <v>120</v>
      </c>
      <c r="U30" s="43">
        <v>46174.348036412041</v>
      </c>
      <c r="V30" t="s">
        <v>111</v>
      </c>
      <c r="W30" t="s">
        <v>114</v>
      </c>
      <c r="X30" t="s">
        <v>115</v>
      </c>
      <c r="Y30" s="44">
        <v>46174.348043981481</v>
      </c>
      <c r="Z30" t="s">
        <v>111</v>
      </c>
      <c r="AA30" t="s">
        <v>116</v>
      </c>
    </row>
    <row r="31" spans="1:27">
      <c r="A31">
        <v>10799</v>
      </c>
      <c r="B31" t="s">
        <v>139</v>
      </c>
      <c r="C31">
        <v>33714177139</v>
      </c>
      <c r="D31" t="s">
        <v>140</v>
      </c>
      <c r="E31">
        <v>33714177139</v>
      </c>
      <c r="F31" t="s">
        <v>106</v>
      </c>
      <c r="G31">
        <v>1</v>
      </c>
      <c r="J31">
        <v>86227815821405</v>
      </c>
      <c r="L31">
        <v>140000</v>
      </c>
      <c r="N31" t="s">
        <v>107</v>
      </c>
      <c r="O31" t="s">
        <v>108</v>
      </c>
      <c r="P31" t="s">
        <v>31</v>
      </c>
      <c r="Q31" s="41">
        <v>46175</v>
      </c>
      <c r="R31" t="s">
        <v>141</v>
      </c>
      <c r="U31" s="43">
        <v>46174.566039363424</v>
      </c>
      <c r="V31" t="s">
        <v>111</v>
      </c>
      <c r="W31" t="s">
        <v>25</v>
      </c>
      <c r="X31" t="s">
        <v>112</v>
      </c>
      <c r="Y31" s="44">
        <v>46175.710023148145</v>
      </c>
      <c r="Z31" t="s">
        <v>117</v>
      </c>
    </row>
    <row r="32" spans="1:27">
      <c r="A32">
        <v>10799</v>
      </c>
      <c r="B32" t="s">
        <v>139</v>
      </c>
      <c r="C32">
        <v>33714177139</v>
      </c>
      <c r="D32" t="s">
        <v>140</v>
      </c>
      <c r="E32">
        <v>33714177139</v>
      </c>
      <c r="F32" t="s">
        <v>106</v>
      </c>
      <c r="G32">
        <v>1</v>
      </c>
      <c r="J32">
        <v>86227815821405</v>
      </c>
      <c r="L32">
        <v>140000</v>
      </c>
      <c r="N32" t="s">
        <v>107</v>
      </c>
      <c r="O32" t="s">
        <v>108</v>
      </c>
      <c r="P32" t="s">
        <v>31</v>
      </c>
      <c r="Q32" s="41">
        <v>46175</v>
      </c>
      <c r="R32" t="s">
        <v>141</v>
      </c>
      <c r="U32" s="43">
        <v>46174.566039363424</v>
      </c>
      <c r="V32" t="s">
        <v>111</v>
      </c>
      <c r="W32" t="s">
        <v>113</v>
      </c>
      <c r="X32" t="s">
        <v>25</v>
      </c>
      <c r="Y32" s="44">
        <v>46174.566041666665</v>
      </c>
      <c r="Z32" t="s">
        <v>111</v>
      </c>
    </row>
    <row r="33" spans="1:27">
      <c r="A33">
        <v>10799</v>
      </c>
      <c r="B33" t="s">
        <v>139</v>
      </c>
      <c r="C33">
        <v>33714177139</v>
      </c>
      <c r="D33" t="s">
        <v>140</v>
      </c>
      <c r="E33">
        <v>33714177139</v>
      </c>
      <c r="F33" t="s">
        <v>106</v>
      </c>
      <c r="G33">
        <v>1</v>
      </c>
      <c r="J33">
        <v>86227815821405</v>
      </c>
      <c r="L33">
        <v>140000</v>
      </c>
      <c r="N33" t="s">
        <v>107</v>
      </c>
      <c r="O33" t="s">
        <v>108</v>
      </c>
      <c r="P33" t="s">
        <v>31</v>
      </c>
      <c r="Q33" s="41">
        <v>46175</v>
      </c>
      <c r="R33" t="s">
        <v>141</v>
      </c>
      <c r="U33" s="43">
        <v>46174.566039363424</v>
      </c>
      <c r="V33" t="s">
        <v>111</v>
      </c>
      <c r="W33" t="s">
        <v>114</v>
      </c>
      <c r="X33" t="s">
        <v>115</v>
      </c>
      <c r="Y33" s="44">
        <v>46174.566053240742</v>
      </c>
      <c r="Z33" t="s">
        <v>111</v>
      </c>
      <c r="AA33" t="s">
        <v>116</v>
      </c>
    </row>
    <row r="34" spans="1:27">
      <c r="A34">
        <v>10800</v>
      </c>
      <c r="B34" t="s">
        <v>142</v>
      </c>
      <c r="C34">
        <v>20148209848</v>
      </c>
      <c r="D34" t="s">
        <v>143</v>
      </c>
      <c r="E34">
        <v>20148209848</v>
      </c>
      <c r="F34" t="s">
        <v>106</v>
      </c>
      <c r="G34">
        <v>1</v>
      </c>
      <c r="H34" s="41">
        <v>46174</v>
      </c>
      <c r="J34">
        <v>86227921527010</v>
      </c>
      <c r="K34" s="41">
        <v>46184</v>
      </c>
      <c r="L34">
        <v>133705</v>
      </c>
      <c r="N34" t="s">
        <v>107</v>
      </c>
      <c r="O34" t="s">
        <v>108</v>
      </c>
      <c r="P34" t="s">
        <v>41</v>
      </c>
      <c r="Q34" s="41">
        <v>46175</v>
      </c>
      <c r="R34" t="s">
        <v>144</v>
      </c>
      <c r="U34" s="43">
        <v>46175.410052777777</v>
      </c>
      <c r="V34" t="s">
        <v>111</v>
      </c>
      <c r="W34" t="s">
        <v>25</v>
      </c>
      <c r="X34" t="s">
        <v>112</v>
      </c>
      <c r="Y34" s="44">
        <v>46175.492395833331</v>
      </c>
      <c r="Z34" t="s">
        <v>121</v>
      </c>
    </row>
    <row r="35" spans="1:27">
      <c r="A35">
        <v>10800</v>
      </c>
      <c r="B35" t="s">
        <v>142</v>
      </c>
      <c r="C35">
        <v>20148209848</v>
      </c>
      <c r="D35" t="s">
        <v>143</v>
      </c>
      <c r="E35">
        <v>20148209848</v>
      </c>
      <c r="F35" t="s">
        <v>106</v>
      </c>
      <c r="G35">
        <v>1</v>
      </c>
      <c r="H35" s="41">
        <v>46174</v>
      </c>
      <c r="J35">
        <v>86227921527010</v>
      </c>
      <c r="K35" s="41">
        <v>46184</v>
      </c>
      <c r="L35">
        <v>133705</v>
      </c>
      <c r="N35" t="s">
        <v>107</v>
      </c>
      <c r="O35" t="s">
        <v>108</v>
      </c>
      <c r="P35" t="s">
        <v>41</v>
      </c>
      <c r="Q35" s="41">
        <v>46175</v>
      </c>
      <c r="R35" t="s">
        <v>144</v>
      </c>
      <c r="U35" s="43">
        <v>46175.410052777777</v>
      </c>
      <c r="V35" t="s">
        <v>111</v>
      </c>
      <c r="W35" t="s">
        <v>113</v>
      </c>
      <c r="X35" t="s">
        <v>25</v>
      </c>
      <c r="Y35" s="44">
        <v>46175.410069444442</v>
      </c>
      <c r="Z35" t="s">
        <v>111</v>
      </c>
    </row>
    <row r="36" spans="1:27">
      <c r="A36">
        <v>10800</v>
      </c>
      <c r="B36" t="s">
        <v>142</v>
      </c>
      <c r="C36">
        <v>20148209848</v>
      </c>
      <c r="D36" t="s">
        <v>143</v>
      </c>
      <c r="E36">
        <v>20148209848</v>
      </c>
      <c r="F36" t="s">
        <v>106</v>
      </c>
      <c r="G36">
        <v>1</v>
      </c>
      <c r="H36" s="41">
        <v>46174</v>
      </c>
      <c r="J36">
        <v>86227921527010</v>
      </c>
      <c r="K36" s="41">
        <v>46184</v>
      </c>
      <c r="L36">
        <v>133705</v>
      </c>
      <c r="N36" t="s">
        <v>107</v>
      </c>
      <c r="O36" t="s">
        <v>108</v>
      </c>
      <c r="P36" t="s">
        <v>41</v>
      </c>
      <c r="Q36" s="41">
        <v>46175</v>
      </c>
      <c r="R36" t="s">
        <v>144</v>
      </c>
      <c r="U36" s="43">
        <v>46175.410052777777</v>
      </c>
      <c r="V36" t="s">
        <v>111</v>
      </c>
      <c r="W36" t="s">
        <v>114</v>
      </c>
      <c r="X36" t="s">
        <v>115</v>
      </c>
      <c r="Y36" s="44">
        <v>46175.410069444442</v>
      </c>
      <c r="Z36" t="s">
        <v>111</v>
      </c>
      <c r="AA36" t="s">
        <v>116</v>
      </c>
    </row>
    <row r="37" spans="1:27">
      <c r="A37">
        <v>10801</v>
      </c>
      <c r="B37" t="s">
        <v>145</v>
      </c>
      <c r="C37">
        <v>33709685479</v>
      </c>
      <c r="D37" t="s">
        <v>131</v>
      </c>
      <c r="E37">
        <v>33709685479</v>
      </c>
      <c r="F37" t="s">
        <v>106</v>
      </c>
      <c r="G37">
        <v>1</v>
      </c>
      <c r="H37" s="41">
        <v>46172</v>
      </c>
      <c r="J37">
        <v>86227598753675</v>
      </c>
      <c r="L37">
        <v>104080.19</v>
      </c>
      <c r="N37" t="s">
        <v>107</v>
      </c>
      <c r="O37" t="s">
        <v>125</v>
      </c>
      <c r="P37" t="s">
        <v>41</v>
      </c>
      <c r="Q37" s="41">
        <v>46178</v>
      </c>
      <c r="R37" t="s">
        <v>126</v>
      </c>
      <c r="U37" s="43">
        <v>46176.352089386572</v>
      </c>
      <c r="V37" t="s">
        <v>111</v>
      </c>
      <c r="W37" t="s">
        <v>25</v>
      </c>
      <c r="X37" t="s">
        <v>112</v>
      </c>
      <c r="Y37" s="44">
        <v>46178.699837962966</v>
      </c>
      <c r="Z37" t="s">
        <v>121</v>
      </c>
    </row>
    <row r="38" spans="1:27">
      <c r="A38">
        <v>10801</v>
      </c>
      <c r="B38" t="s">
        <v>145</v>
      </c>
      <c r="C38">
        <v>33709685479</v>
      </c>
      <c r="D38" t="s">
        <v>131</v>
      </c>
      <c r="E38">
        <v>33709685479</v>
      </c>
      <c r="F38" t="s">
        <v>106</v>
      </c>
      <c r="G38">
        <v>1</v>
      </c>
      <c r="H38" s="41">
        <v>46172</v>
      </c>
      <c r="J38">
        <v>86227598753675</v>
      </c>
      <c r="L38">
        <v>104080.19</v>
      </c>
      <c r="N38" t="s">
        <v>107</v>
      </c>
      <c r="O38" t="s">
        <v>125</v>
      </c>
      <c r="P38" t="s">
        <v>41</v>
      </c>
      <c r="Q38" s="41">
        <v>46178</v>
      </c>
      <c r="R38" t="s">
        <v>126</v>
      </c>
      <c r="U38" s="43">
        <v>46176.352089386572</v>
      </c>
      <c r="V38" t="s">
        <v>111</v>
      </c>
      <c r="W38" t="s">
        <v>113</v>
      </c>
      <c r="X38" t="s">
        <v>25</v>
      </c>
      <c r="Y38" s="44">
        <v>46176.352094907408</v>
      </c>
      <c r="Z38" t="s">
        <v>111</v>
      </c>
    </row>
    <row r="39" spans="1:27">
      <c r="A39">
        <v>10801</v>
      </c>
      <c r="B39" t="s">
        <v>145</v>
      </c>
      <c r="C39">
        <v>33709685479</v>
      </c>
      <c r="D39" t="s">
        <v>131</v>
      </c>
      <c r="E39">
        <v>33709685479</v>
      </c>
      <c r="F39" t="s">
        <v>106</v>
      </c>
      <c r="G39">
        <v>1</v>
      </c>
      <c r="H39" s="41">
        <v>46172</v>
      </c>
      <c r="J39">
        <v>86227598753675</v>
      </c>
      <c r="L39">
        <v>104080.19</v>
      </c>
      <c r="N39" t="s">
        <v>107</v>
      </c>
      <c r="O39" t="s">
        <v>125</v>
      </c>
      <c r="P39" t="s">
        <v>41</v>
      </c>
      <c r="Q39" s="41">
        <v>46178</v>
      </c>
      <c r="R39" t="s">
        <v>126</v>
      </c>
      <c r="U39" s="43">
        <v>46176.352089386572</v>
      </c>
      <c r="V39" t="s">
        <v>111</v>
      </c>
      <c r="W39" t="s">
        <v>114</v>
      </c>
      <c r="X39" t="s">
        <v>127</v>
      </c>
      <c r="Y39" s="44">
        <v>46176.352094907408</v>
      </c>
      <c r="Z39" t="s">
        <v>111</v>
      </c>
      <c r="AA39" t="s">
        <v>116</v>
      </c>
    </row>
    <row r="40" spans="1:27">
      <c r="A40">
        <v>10804</v>
      </c>
      <c r="B40" t="s">
        <v>146</v>
      </c>
      <c r="C40">
        <v>20303123718</v>
      </c>
      <c r="D40" t="s">
        <v>147</v>
      </c>
      <c r="E40">
        <v>20303123718</v>
      </c>
      <c r="F40" t="s">
        <v>106</v>
      </c>
      <c r="G40">
        <v>1</v>
      </c>
      <c r="H40" s="41">
        <v>46175</v>
      </c>
      <c r="J40">
        <v>86228018345569</v>
      </c>
      <c r="K40" s="41">
        <v>46185</v>
      </c>
      <c r="L40">
        <v>1650000</v>
      </c>
      <c r="N40" t="s">
        <v>107</v>
      </c>
      <c r="O40" t="s">
        <v>125</v>
      </c>
      <c r="P40" t="s">
        <v>47</v>
      </c>
      <c r="Q40" s="41">
        <v>46180</v>
      </c>
      <c r="R40" t="s">
        <v>148</v>
      </c>
      <c r="U40" s="43">
        <v>46176.355186145833</v>
      </c>
      <c r="V40" t="s">
        <v>111</v>
      </c>
      <c r="W40" t="s">
        <v>25</v>
      </c>
      <c r="X40" t="s">
        <v>112</v>
      </c>
      <c r="Y40" s="44">
        <v>46180.753831018519</v>
      </c>
      <c r="Z40" t="s">
        <v>149</v>
      </c>
    </row>
    <row r="41" spans="1:27">
      <c r="A41">
        <v>10804</v>
      </c>
      <c r="B41" t="s">
        <v>146</v>
      </c>
      <c r="C41">
        <v>20303123718</v>
      </c>
      <c r="D41" t="s">
        <v>147</v>
      </c>
      <c r="E41">
        <v>20303123718</v>
      </c>
      <c r="F41" t="s">
        <v>106</v>
      </c>
      <c r="G41">
        <v>1</v>
      </c>
      <c r="H41" s="41">
        <v>46175</v>
      </c>
      <c r="J41">
        <v>86228018345569</v>
      </c>
      <c r="K41" s="41">
        <v>46185</v>
      </c>
      <c r="L41">
        <v>1650000</v>
      </c>
      <c r="N41" t="s">
        <v>107</v>
      </c>
      <c r="O41" t="s">
        <v>125</v>
      </c>
      <c r="P41" t="s">
        <v>47</v>
      </c>
      <c r="Q41" s="41">
        <v>46180</v>
      </c>
      <c r="R41" t="s">
        <v>148</v>
      </c>
      <c r="U41" s="43">
        <v>46176.355186145833</v>
      </c>
      <c r="V41" t="s">
        <v>111</v>
      </c>
      <c r="W41" t="s">
        <v>113</v>
      </c>
      <c r="X41" t="s">
        <v>25</v>
      </c>
      <c r="Y41" s="44">
        <v>46176.355196759258</v>
      </c>
      <c r="Z41" t="s">
        <v>111</v>
      </c>
    </row>
    <row r="42" spans="1:27">
      <c r="A42">
        <v>10804</v>
      </c>
      <c r="B42" t="s">
        <v>146</v>
      </c>
      <c r="C42">
        <v>20303123718</v>
      </c>
      <c r="D42" t="s">
        <v>147</v>
      </c>
      <c r="E42">
        <v>20303123718</v>
      </c>
      <c r="F42" t="s">
        <v>106</v>
      </c>
      <c r="G42">
        <v>1</v>
      </c>
      <c r="H42" s="41">
        <v>46175</v>
      </c>
      <c r="J42">
        <v>86228018345569</v>
      </c>
      <c r="K42" s="41">
        <v>46185</v>
      </c>
      <c r="L42">
        <v>1650000</v>
      </c>
      <c r="N42" t="s">
        <v>107</v>
      </c>
      <c r="O42" t="s">
        <v>125</v>
      </c>
      <c r="P42" t="s">
        <v>47</v>
      </c>
      <c r="Q42" s="41">
        <v>46180</v>
      </c>
      <c r="R42" t="s">
        <v>148</v>
      </c>
      <c r="U42" s="43">
        <v>46176.355186145833</v>
      </c>
      <c r="V42" t="s">
        <v>111</v>
      </c>
      <c r="W42" t="s">
        <v>114</v>
      </c>
      <c r="X42" t="s">
        <v>127</v>
      </c>
      <c r="Y42" s="44">
        <v>46176.355196759258</v>
      </c>
      <c r="Z42" t="s">
        <v>111</v>
      </c>
      <c r="AA42" t="s">
        <v>116</v>
      </c>
    </row>
    <row r="43" spans="1:27">
      <c r="A43">
        <v>10806</v>
      </c>
      <c r="B43" t="s">
        <v>150</v>
      </c>
      <c r="C43">
        <v>30717744108</v>
      </c>
      <c r="D43" t="s">
        <v>151</v>
      </c>
      <c r="E43">
        <v>30717744108</v>
      </c>
      <c r="F43" t="s">
        <v>106</v>
      </c>
      <c r="G43">
        <v>1</v>
      </c>
      <c r="H43" s="41">
        <v>46175</v>
      </c>
      <c r="J43">
        <v>86228072533216</v>
      </c>
      <c r="K43" s="41">
        <v>46185</v>
      </c>
      <c r="L43">
        <v>414515.57</v>
      </c>
      <c r="N43" t="s">
        <v>107</v>
      </c>
      <c r="O43" t="s">
        <v>108</v>
      </c>
      <c r="P43" t="s">
        <v>41</v>
      </c>
      <c r="Q43" s="41">
        <v>46176</v>
      </c>
      <c r="R43" t="s">
        <v>129</v>
      </c>
      <c r="U43" s="43">
        <v>46176.357735277779</v>
      </c>
      <c r="V43" t="s">
        <v>111</v>
      </c>
      <c r="W43" t="s">
        <v>25</v>
      </c>
      <c r="X43" t="s">
        <v>112</v>
      </c>
      <c r="Y43" s="44">
        <v>46176.395127314812</v>
      </c>
      <c r="Z43" t="s">
        <v>121</v>
      </c>
      <c r="AA43" t="s">
        <v>152</v>
      </c>
    </row>
    <row r="44" spans="1:27">
      <c r="A44">
        <v>10806</v>
      </c>
      <c r="B44" t="s">
        <v>150</v>
      </c>
      <c r="C44">
        <v>30717744108</v>
      </c>
      <c r="D44" t="s">
        <v>151</v>
      </c>
      <c r="E44">
        <v>30717744108</v>
      </c>
      <c r="F44" t="s">
        <v>106</v>
      </c>
      <c r="G44">
        <v>1</v>
      </c>
      <c r="H44" s="41">
        <v>46175</v>
      </c>
      <c r="J44">
        <v>86228072533216</v>
      </c>
      <c r="K44" s="41">
        <v>46185</v>
      </c>
      <c r="L44">
        <v>414515.57</v>
      </c>
      <c r="N44" t="s">
        <v>107</v>
      </c>
      <c r="O44" t="s">
        <v>108</v>
      </c>
      <c r="P44" t="s">
        <v>41</v>
      </c>
      <c r="Q44" s="41">
        <v>46176</v>
      </c>
      <c r="R44" t="s">
        <v>129</v>
      </c>
      <c r="U44" s="43">
        <v>46176.357735277779</v>
      </c>
      <c r="V44" t="s">
        <v>111</v>
      </c>
      <c r="W44" t="s">
        <v>113</v>
      </c>
      <c r="X44" t="s">
        <v>25</v>
      </c>
      <c r="Y44" s="44">
        <v>46176.357743055552</v>
      </c>
      <c r="Z44" t="s">
        <v>111</v>
      </c>
    </row>
    <row r="45" spans="1:27">
      <c r="A45">
        <v>10806</v>
      </c>
      <c r="B45" t="s">
        <v>150</v>
      </c>
      <c r="C45">
        <v>30717744108</v>
      </c>
      <c r="D45" t="s">
        <v>151</v>
      </c>
      <c r="E45">
        <v>30717744108</v>
      </c>
      <c r="F45" t="s">
        <v>106</v>
      </c>
      <c r="G45">
        <v>1</v>
      </c>
      <c r="H45" s="41">
        <v>46175</v>
      </c>
      <c r="J45">
        <v>86228072533216</v>
      </c>
      <c r="K45" s="41">
        <v>46185</v>
      </c>
      <c r="L45">
        <v>414515.57</v>
      </c>
      <c r="N45" t="s">
        <v>107</v>
      </c>
      <c r="O45" t="s">
        <v>108</v>
      </c>
      <c r="P45" t="s">
        <v>41</v>
      </c>
      <c r="Q45" s="41">
        <v>46176</v>
      </c>
      <c r="R45" t="s">
        <v>129</v>
      </c>
      <c r="U45" s="43">
        <v>46176.357735277779</v>
      </c>
      <c r="V45" t="s">
        <v>111</v>
      </c>
      <c r="W45" t="s">
        <v>114</v>
      </c>
      <c r="X45" t="s">
        <v>115</v>
      </c>
      <c r="Y45" s="44">
        <v>46176.357743055552</v>
      </c>
      <c r="Z45" t="s">
        <v>111</v>
      </c>
      <c r="AA45" t="s">
        <v>116</v>
      </c>
    </row>
    <row r="46" spans="1:27">
      <c r="A46">
        <v>10808</v>
      </c>
      <c r="B46" t="s">
        <v>153</v>
      </c>
      <c r="C46">
        <v>30708657464</v>
      </c>
      <c r="D46" t="s">
        <v>154</v>
      </c>
      <c r="E46">
        <v>30708657464</v>
      </c>
      <c r="F46" t="s">
        <v>106</v>
      </c>
      <c r="G46">
        <v>1</v>
      </c>
      <c r="H46" s="41">
        <v>46175</v>
      </c>
      <c r="L46">
        <v>229200</v>
      </c>
      <c r="N46" t="s">
        <v>107</v>
      </c>
      <c r="O46" t="s">
        <v>108</v>
      </c>
      <c r="P46" t="s">
        <v>31</v>
      </c>
      <c r="Q46" s="41">
        <v>46176</v>
      </c>
      <c r="R46" t="s">
        <v>155</v>
      </c>
      <c r="U46" s="43">
        <v>46176.358564918984</v>
      </c>
      <c r="V46" t="s">
        <v>111</v>
      </c>
      <c r="W46" t="s">
        <v>25</v>
      </c>
      <c r="X46" t="s">
        <v>112</v>
      </c>
      <c r="Y46" s="44">
        <v>46176.408333333333</v>
      </c>
      <c r="Z46" t="s">
        <v>117</v>
      </c>
    </row>
    <row r="47" spans="1:27">
      <c r="A47">
        <v>10808</v>
      </c>
      <c r="B47" t="s">
        <v>153</v>
      </c>
      <c r="C47">
        <v>30708657464</v>
      </c>
      <c r="D47" t="s">
        <v>154</v>
      </c>
      <c r="E47">
        <v>30708657464</v>
      </c>
      <c r="F47" t="s">
        <v>106</v>
      </c>
      <c r="G47">
        <v>1</v>
      </c>
      <c r="H47" s="41">
        <v>46175</v>
      </c>
      <c r="L47">
        <v>229200</v>
      </c>
      <c r="N47" t="s">
        <v>107</v>
      </c>
      <c r="O47" t="s">
        <v>108</v>
      </c>
      <c r="P47" t="s">
        <v>31</v>
      </c>
      <c r="Q47" s="41">
        <v>46176</v>
      </c>
      <c r="R47" t="s">
        <v>155</v>
      </c>
      <c r="U47" s="43">
        <v>46176.358564918984</v>
      </c>
      <c r="V47" t="s">
        <v>111</v>
      </c>
      <c r="W47" t="s">
        <v>113</v>
      </c>
      <c r="X47" t="s">
        <v>25</v>
      </c>
      <c r="Y47" s="44">
        <v>46176.358576388891</v>
      </c>
      <c r="Z47" t="s">
        <v>111</v>
      </c>
    </row>
    <row r="48" spans="1:27">
      <c r="A48">
        <v>10808</v>
      </c>
      <c r="B48" t="s">
        <v>153</v>
      </c>
      <c r="C48">
        <v>30708657464</v>
      </c>
      <c r="D48" t="s">
        <v>154</v>
      </c>
      <c r="E48">
        <v>30708657464</v>
      </c>
      <c r="F48" t="s">
        <v>106</v>
      </c>
      <c r="G48">
        <v>1</v>
      </c>
      <c r="H48" s="41">
        <v>46175</v>
      </c>
      <c r="L48">
        <v>229200</v>
      </c>
      <c r="N48" t="s">
        <v>107</v>
      </c>
      <c r="O48" t="s">
        <v>108</v>
      </c>
      <c r="P48" t="s">
        <v>31</v>
      </c>
      <c r="Q48" s="41">
        <v>46176</v>
      </c>
      <c r="R48" t="s">
        <v>155</v>
      </c>
      <c r="U48" s="43">
        <v>46176.358564918984</v>
      </c>
      <c r="V48" t="s">
        <v>111</v>
      </c>
      <c r="W48" t="s">
        <v>114</v>
      </c>
      <c r="X48" t="s">
        <v>115</v>
      </c>
      <c r="Y48" s="44">
        <v>46176.358576388891</v>
      </c>
      <c r="Z48" t="s">
        <v>111</v>
      </c>
      <c r="AA48" t="s">
        <v>116</v>
      </c>
    </row>
    <row r="49" spans="1:27">
      <c r="A49">
        <v>10811</v>
      </c>
      <c r="B49" t="s">
        <v>156</v>
      </c>
      <c r="C49">
        <v>20311391330</v>
      </c>
      <c r="D49" t="s">
        <v>157</v>
      </c>
      <c r="E49">
        <v>20311391330</v>
      </c>
      <c r="F49" t="s">
        <v>106</v>
      </c>
      <c r="G49">
        <v>1</v>
      </c>
      <c r="H49" s="41">
        <v>46174</v>
      </c>
      <c r="J49">
        <v>86228172934793</v>
      </c>
      <c r="K49" s="41">
        <v>46184</v>
      </c>
      <c r="L49">
        <v>10229358.15</v>
      </c>
      <c r="N49" t="s">
        <v>107</v>
      </c>
      <c r="O49" t="s">
        <v>108</v>
      </c>
      <c r="P49" t="s">
        <v>31</v>
      </c>
      <c r="Q49" s="41">
        <v>46176</v>
      </c>
      <c r="R49" t="s">
        <v>158</v>
      </c>
      <c r="S49" s="41">
        <v>46177</v>
      </c>
      <c r="T49" t="s">
        <v>110</v>
      </c>
      <c r="U49" s="43">
        <v>46176.490919317126</v>
      </c>
      <c r="V49" t="s">
        <v>111</v>
      </c>
      <c r="W49" t="s">
        <v>20</v>
      </c>
      <c r="X49" t="s">
        <v>112</v>
      </c>
      <c r="Y49" s="44">
        <v>46177.385706018518</v>
      </c>
      <c r="Z49" t="s">
        <v>111</v>
      </c>
    </row>
    <row r="50" spans="1:27">
      <c r="A50">
        <v>10811</v>
      </c>
      <c r="B50" t="s">
        <v>156</v>
      </c>
      <c r="C50">
        <v>20311391330</v>
      </c>
      <c r="D50" t="s">
        <v>157</v>
      </c>
      <c r="E50">
        <v>20311391330</v>
      </c>
      <c r="F50" t="s">
        <v>106</v>
      </c>
      <c r="G50">
        <v>1</v>
      </c>
      <c r="H50" s="41">
        <v>46174</v>
      </c>
      <c r="J50">
        <v>86228172934793</v>
      </c>
      <c r="K50" s="41">
        <v>46184</v>
      </c>
      <c r="L50">
        <v>10229358.15</v>
      </c>
      <c r="N50" t="s">
        <v>107</v>
      </c>
      <c r="O50" t="s">
        <v>108</v>
      </c>
      <c r="P50" t="s">
        <v>31</v>
      </c>
      <c r="Q50" s="41">
        <v>46176</v>
      </c>
      <c r="R50" t="s">
        <v>158</v>
      </c>
      <c r="S50" s="41">
        <v>46177</v>
      </c>
      <c r="T50" t="s">
        <v>110</v>
      </c>
      <c r="U50" s="43">
        <v>46176.490919317126</v>
      </c>
      <c r="V50" t="s">
        <v>111</v>
      </c>
      <c r="W50" t="s">
        <v>113</v>
      </c>
      <c r="X50" t="s">
        <v>25</v>
      </c>
      <c r="Y50" s="44">
        <v>46176.490925925929</v>
      </c>
      <c r="Z50" t="s">
        <v>111</v>
      </c>
    </row>
    <row r="51" spans="1:27">
      <c r="A51">
        <v>10811</v>
      </c>
      <c r="B51" t="s">
        <v>156</v>
      </c>
      <c r="C51">
        <v>20311391330</v>
      </c>
      <c r="D51" t="s">
        <v>157</v>
      </c>
      <c r="E51">
        <v>20311391330</v>
      </c>
      <c r="F51" t="s">
        <v>106</v>
      </c>
      <c r="G51">
        <v>1</v>
      </c>
      <c r="H51" s="41">
        <v>46174</v>
      </c>
      <c r="J51">
        <v>86228172934793</v>
      </c>
      <c r="K51" s="41">
        <v>46184</v>
      </c>
      <c r="L51">
        <v>10229358.15</v>
      </c>
      <c r="N51" t="s">
        <v>107</v>
      </c>
      <c r="O51" t="s">
        <v>108</v>
      </c>
      <c r="P51" t="s">
        <v>31</v>
      </c>
      <c r="Q51" s="41">
        <v>46176</v>
      </c>
      <c r="R51" t="s">
        <v>158</v>
      </c>
      <c r="S51" s="41">
        <v>46177</v>
      </c>
      <c r="T51" t="s">
        <v>110</v>
      </c>
      <c r="U51" s="43">
        <v>46176.490919317126</v>
      </c>
      <c r="V51" t="s">
        <v>111</v>
      </c>
      <c r="W51" t="s">
        <v>114</v>
      </c>
      <c r="X51" t="s">
        <v>115</v>
      </c>
      <c r="Y51" s="44">
        <v>46176.490925925929</v>
      </c>
      <c r="Z51" t="s">
        <v>111</v>
      </c>
      <c r="AA51" t="s">
        <v>116</v>
      </c>
    </row>
    <row r="52" spans="1:27">
      <c r="A52">
        <v>10811</v>
      </c>
      <c r="B52" t="s">
        <v>156</v>
      </c>
      <c r="C52">
        <v>20311391330</v>
      </c>
      <c r="D52" t="s">
        <v>157</v>
      </c>
      <c r="E52">
        <v>20311391330</v>
      </c>
      <c r="F52" t="s">
        <v>106</v>
      </c>
      <c r="G52">
        <v>1</v>
      </c>
      <c r="H52" s="41">
        <v>46174</v>
      </c>
      <c r="J52">
        <v>86228172934793</v>
      </c>
      <c r="K52" s="41">
        <v>46184</v>
      </c>
      <c r="L52">
        <v>10229358.15</v>
      </c>
      <c r="N52" t="s">
        <v>107</v>
      </c>
      <c r="O52" t="s">
        <v>108</v>
      </c>
      <c r="P52" t="s">
        <v>31</v>
      </c>
      <c r="Q52" s="41">
        <v>46176</v>
      </c>
      <c r="R52" t="s">
        <v>158</v>
      </c>
      <c r="S52" s="41">
        <v>46177</v>
      </c>
      <c r="T52" t="s">
        <v>110</v>
      </c>
      <c r="U52" s="43">
        <v>46176.490919317126</v>
      </c>
      <c r="V52" t="s">
        <v>111</v>
      </c>
      <c r="W52" t="s">
        <v>25</v>
      </c>
      <c r="X52" t="s">
        <v>25</v>
      </c>
      <c r="Y52" s="44">
        <v>46176.677743055552</v>
      </c>
      <c r="Z52" t="s">
        <v>117</v>
      </c>
    </row>
    <row r="53" spans="1:27">
      <c r="A53">
        <v>10817</v>
      </c>
      <c r="B53" t="s">
        <v>159</v>
      </c>
      <c r="C53">
        <v>33709685479</v>
      </c>
      <c r="D53" t="s">
        <v>131</v>
      </c>
      <c r="E53">
        <v>33709685479</v>
      </c>
      <c r="F53" t="s">
        <v>106</v>
      </c>
      <c r="G53">
        <v>1</v>
      </c>
      <c r="H53" s="41">
        <v>46171</v>
      </c>
      <c r="J53">
        <v>86227400980364</v>
      </c>
      <c r="L53">
        <v>38962</v>
      </c>
      <c r="N53" t="s">
        <v>107</v>
      </c>
      <c r="O53" t="s">
        <v>125</v>
      </c>
      <c r="P53" t="s">
        <v>41</v>
      </c>
      <c r="Q53" s="41">
        <v>46178</v>
      </c>
      <c r="R53" t="s">
        <v>126</v>
      </c>
      <c r="U53" s="43">
        <v>46177.347531400461</v>
      </c>
      <c r="V53" t="s">
        <v>111</v>
      </c>
      <c r="W53" t="s">
        <v>25</v>
      </c>
      <c r="X53" t="s">
        <v>112</v>
      </c>
      <c r="Y53" s="44">
        <v>46178.697974537034</v>
      </c>
      <c r="Z53" t="s">
        <v>121</v>
      </c>
    </row>
    <row r="54" spans="1:27">
      <c r="A54">
        <v>10817</v>
      </c>
      <c r="B54" t="s">
        <v>159</v>
      </c>
      <c r="C54">
        <v>33709685479</v>
      </c>
      <c r="D54" t="s">
        <v>131</v>
      </c>
      <c r="E54">
        <v>33709685479</v>
      </c>
      <c r="F54" t="s">
        <v>106</v>
      </c>
      <c r="G54">
        <v>1</v>
      </c>
      <c r="H54" s="41">
        <v>46171</v>
      </c>
      <c r="J54">
        <v>86227400980364</v>
      </c>
      <c r="L54">
        <v>38962</v>
      </c>
      <c r="N54" t="s">
        <v>107</v>
      </c>
      <c r="O54" t="s">
        <v>125</v>
      </c>
      <c r="P54" t="s">
        <v>41</v>
      </c>
      <c r="Q54" s="41">
        <v>46178</v>
      </c>
      <c r="R54" t="s">
        <v>126</v>
      </c>
      <c r="U54" s="43">
        <v>46177.347531400461</v>
      </c>
      <c r="V54" t="s">
        <v>111</v>
      </c>
      <c r="W54" t="s">
        <v>113</v>
      </c>
      <c r="X54" t="s">
        <v>25</v>
      </c>
      <c r="Y54" s="44">
        <v>46177.347557870373</v>
      </c>
      <c r="Z54" t="s">
        <v>111</v>
      </c>
    </row>
    <row r="55" spans="1:27">
      <c r="A55">
        <v>10817</v>
      </c>
      <c r="B55" t="s">
        <v>159</v>
      </c>
      <c r="C55">
        <v>33709685479</v>
      </c>
      <c r="D55" t="s">
        <v>131</v>
      </c>
      <c r="E55">
        <v>33709685479</v>
      </c>
      <c r="F55" t="s">
        <v>106</v>
      </c>
      <c r="G55">
        <v>1</v>
      </c>
      <c r="H55" s="41">
        <v>46171</v>
      </c>
      <c r="J55">
        <v>86227400980364</v>
      </c>
      <c r="L55">
        <v>38962</v>
      </c>
      <c r="N55" t="s">
        <v>107</v>
      </c>
      <c r="O55" t="s">
        <v>125</v>
      </c>
      <c r="P55" t="s">
        <v>41</v>
      </c>
      <c r="Q55" s="41">
        <v>46178</v>
      </c>
      <c r="R55" t="s">
        <v>126</v>
      </c>
      <c r="U55" s="43">
        <v>46177.347531400461</v>
      </c>
      <c r="V55" t="s">
        <v>111</v>
      </c>
      <c r="W55" t="s">
        <v>114</v>
      </c>
      <c r="X55" t="s">
        <v>127</v>
      </c>
      <c r="Y55" s="44">
        <v>46177.347569444442</v>
      </c>
      <c r="Z55" t="s">
        <v>111</v>
      </c>
      <c r="AA55" t="s">
        <v>116</v>
      </c>
    </row>
    <row r="56" spans="1:27">
      <c r="A56">
        <v>10838</v>
      </c>
      <c r="B56" t="s">
        <v>160</v>
      </c>
      <c r="C56">
        <v>23225254834</v>
      </c>
      <c r="D56" t="s">
        <v>161</v>
      </c>
      <c r="E56">
        <v>23225254834</v>
      </c>
      <c r="F56" t="s">
        <v>106</v>
      </c>
      <c r="G56">
        <v>1</v>
      </c>
      <c r="H56" s="41">
        <v>46178</v>
      </c>
      <c r="J56">
        <v>86238475613120</v>
      </c>
      <c r="K56" s="41">
        <v>46188</v>
      </c>
      <c r="L56">
        <v>640000</v>
      </c>
      <c r="N56" t="s">
        <v>107</v>
      </c>
      <c r="O56" t="s">
        <v>125</v>
      </c>
      <c r="P56" t="s">
        <v>41</v>
      </c>
      <c r="Q56" s="41">
        <v>46178</v>
      </c>
      <c r="R56" t="s">
        <v>162</v>
      </c>
      <c r="U56" s="43">
        <v>46178.467949386577</v>
      </c>
      <c r="V56" t="s">
        <v>111</v>
      </c>
      <c r="W56" t="s">
        <v>25</v>
      </c>
      <c r="X56" t="s">
        <v>112</v>
      </c>
      <c r="Y56" s="44">
        <v>46178.700868055559</v>
      </c>
      <c r="Z56" t="s">
        <v>121</v>
      </c>
    </row>
    <row r="57" spans="1:27">
      <c r="A57">
        <v>10838</v>
      </c>
      <c r="B57" t="s">
        <v>160</v>
      </c>
      <c r="C57">
        <v>23225254834</v>
      </c>
      <c r="D57" t="s">
        <v>161</v>
      </c>
      <c r="E57">
        <v>23225254834</v>
      </c>
      <c r="F57" t="s">
        <v>106</v>
      </c>
      <c r="G57">
        <v>1</v>
      </c>
      <c r="H57" s="41">
        <v>46178</v>
      </c>
      <c r="J57">
        <v>86238475613120</v>
      </c>
      <c r="K57" s="41">
        <v>46188</v>
      </c>
      <c r="L57">
        <v>640000</v>
      </c>
      <c r="N57" t="s">
        <v>107</v>
      </c>
      <c r="O57" t="s">
        <v>125</v>
      </c>
      <c r="P57" t="s">
        <v>41</v>
      </c>
      <c r="Q57" s="41">
        <v>46178</v>
      </c>
      <c r="R57" t="s">
        <v>162</v>
      </c>
      <c r="U57" s="43">
        <v>46178.467949386577</v>
      </c>
      <c r="V57" t="s">
        <v>111</v>
      </c>
      <c r="W57" t="s">
        <v>113</v>
      </c>
      <c r="X57" t="s">
        <v>25</v>
      </c>
      <c r="Y57" s="44">
        <v>46178.467962962961</v>
      </c>
      <c r="Z57" t="s">
        <v>111</v>
      </c>
    </row>
    <row r="58" spans="1:27">
      <c r="A58">
        <v>10838</v>
      </c>
      <c r="B58" t="s">
        <v>160</v>
      </c>
      <c r="C58">
        <v>23225254834</v>
      </c>
      <c r="D58" t="s">
        <v>161</v>
      </c>
      <c r="E58">
        <v>23225254834</v>
      </c>
      <c r="F58" t="s">
        <v>106</v>
      </c>
      <c r="G58">
        <v>1</v>
      </c>
      <c r="H58" s="41">
        <v>46178</v>
      </c>
      <c r="J58">
        <v>86238475613120</v>
      </c>
      <c r="K58" s="41">
        <v>46188</v>
      </c>
      <c r="L58">
        <v>640000</v>
      </c>
      <c r="N58" t="s">
        <v>107</v>
      </c>
      <c r="O58" t="s">
        <v>125</v>
      </c>
      <c r="P58" t="s">
        <v>41</v>
      </c>
      <c r="Q58" s="41">
        <v>46178</v>
      </c>
      <c r="R58" t="s">
        <v>162</v>
      </c>
      <c r="U58" s="43">
        <v>46178.467949386577</v>
      </c>
      <c r="V58" t="s">
        <v>111</v>
      </c>
      <c r="W58" t="s">
        <v>114</v>
      </c>
      <c r="X58" t="s">
        <v>127</v>
      </c>
      <c r="Y58" s="44">
        <v>46178.467962962961</v>
      </c>
      <c r="Z58" t="s">
        <v>111</v>
      </c>
      <c r="AA58" t="s">
        <v>116</v>
      </c>
    </row>
    <row r="59" spans="1:27">
      <c r="L59" s="42"/>
    </row>
    <row r="60" spans="1:27">
      <c r="L60" s="42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8CA29FC8DE594487A9248FB3EBD52F" ma:contentTypeVersion="8" ma:contentTypeDescription="Create a new document." ma:contentTypeScope="" ma:versionID="c0ae856c4492e1b9f61607f65544216d">
  <xsd:schema xmlns:xsd="http://www.w3.org/2001/XMLSchema" xmlns:xs="http://www.w3.org/2001/XMLSchema" xmlns:p="http://schemas.microsoft.com/office/2006/metadata/properties" xmlns:ns3="9612a466-16ff-4516-8033-6058322bdb4e" xmlns:ns4="86047642-d5c3-4589-ad13-a833d853b996" targetNamespace="http://schemas.microsoft.com/office/2006/metadata/properties" ma:root="true" ma:fieldsID="f760d0fdf0f7ee6dff6f4b7b16d46b0a" ns3:_="" ns4:_="">
    <xsd:import namespace="9612a466-16ff-4516-8033-6058322bdb4e"/>
    <xsd:import namespace="86047642-d5c3-4589-ad13-a833d853b9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2a466-16ff-4516-8033-6058322bd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47642-d5c3-4589-ad13-a833d853b99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AD3B4B-1E7D-419A-9C98-27E0B301BB87}"/>
</file>

<file path=customXml/itemProps2.xml><?xml version="1.0" encoding="utf-8"?>
<ds:datastoreItem xmlns:ds="http://schemas.openxmlformats.org/officeDocument/2006/customXml" ds:itemID="{9CBC3D4A-48BE-48B7-BE8E-67E433F12227}"/>
</file>

<file path=customXml/itemProps3.xml><?xml version="1.0" encoding="utf-8"?>
<ds:datastoreItem xmlns:ds="http://schemas.openxmlformats.org/officeDocument/2006/customXml" ds:itemID="{90FFA422-3A80-4397-BA1E-B6AEDA92B1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Celeste Ferrazzino</dc:creator>
  <cp:keywords/>
  <dc:description/>
  <cp:lastModifiedBy/>
  <cp:revision/>
  <dcterms:created xsi:type="dcterms:W3CDTF">2026-06-05T19:10:49Z</dcterms:created>
  <dcterms:modified xsi:type="dcterms:W3CDTF">2026-06-08T17:27:20Z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0x010100828CA29FC8DE594487A9248FB3EBD52F</vt:lpwstr>
  </property>
</Properties>
</file>